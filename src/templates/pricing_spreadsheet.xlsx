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oseph\Desktop\Code\MSSProposalAutomation\src\templates\"/>
    </mc:Choice>
  </mc:AlternateContent>
  <xr:revisionPtr revIDLastSave="0" documentId="13_ncr:1_{72FFE77A-06E9-42C8-9EB2-29B5FBBC00B0}" xr6:coauthVersionLast="47" xr6:coauthVersionMax="47" xr10:uidLastSave="{00000000-0000-0000-0000-000000000000}"/>
  <bookViews>
    <workbookView xWindow="-103" yWindow="-103" windowWidth="24892" windowHeight="14914" activeTab="1" xr2:uid="{25869D54-3781-4886-8FF9-0A7E0B41E358}"/>
  </bookViews>
  <sheets>
    <sheet name="Customer Info" sheetId="9" r:id="rId1"/>
    <sheet name="Pricing Calculator" sheetId="49" r:id="rId2"/>
    <sheet name="Energy Usage" sheetId="7" r:id="rId3"/>
    <sheet name="Financial Analysis" sheetId="8" r:id="rId4"/>
  </sheets>
  <definedNames>
    <definedName name="_xlnm.Print_Area" localSheetId="2">'Energy Usage'!$A$2:$Q$47</definedName>
    <definedName name="_xlnm.Print_Area" localSheetId="3">'Financial Analysis'!#REF!</definedName>
    <definedName name="_xlnm.Print_Area" localSheetId="1">'Pricing Calculator'!$A$1:$M$106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8" l="1"/>
  <c r="F19" i="8" s="1"/>
  <c r="F20" i="8" s="1"/>
  <c r="F21" i="8" s="1"/>
  <c r="F22" i="8" s="1"/>
  <c r="F23" i="8" s="1"/>
  <c r="F24" i="8" s="1"/>
  <c r="F25" i="8" s="1"/>
  <c r="F26" i="8" s="1"/>
  <c r="F27" i="8" s="1"/>
  <c r="F28" i="8" s="1"/>
  <c r="F29" i="8" s="1"/>
  <c r="F30" i="8" s="1"/>
  <c r="F31" i="8" s="1"/>
  <c r="F32" i="8" s="1"/>
  <c r="F33" i="8" s="1"/>
  <c r="F34" i="8" s="1"/>
  <c r="F35" i="8" s="1"/>
  <c r="F36" i="8" s="1"/>
  <c r="F37" i="8" s="1"/>
  <c r="F38" i="8" s="1"/>
  <c r="F39" i="8" s="1"/>
  <c r="F40" i="8" s="1"/>
  <c r="F41" i="8" s="1"/>
  <c r="F42" i="8" s="1"/>
  <c r="F43" i="8" s="1"/>
  <c r="N28" i="7"/>
  <c r="A1" i="8"/>
  <c r="B3" i="8"/>
  <c r="B4" i="8"/>
  <c r="B5" i="8"/>
  <c r="B9" i="8"/>
  <c r="B10" i="8"/>
  <c r="B11" i="8"/>
  <c r="B12" i="8"/>
  <c r="I18" i="8"/>
  <c r="J18" i="8"/>
  <c r="I19" i="8"/>
  <c r="J19" i="8"/>
  <c r="I20" i="8"/>
  <c r="J20" i="8"/>
  <c r="I21" i="8"/>
  <c r="J21" i="8"/>
  <c r="I22" i="8"/>
  <c r="J22" i="8"/>
  <c r="I23" i="8"/>
  <c r="J23" i="8"/>
  <c r="I24" i="8"/>
  <c r="J24" i="8"/>
  <c r="I25" i="8"/>
  <c r="J25" i="8"/>
  <c r="I26" i="8"/>
  <c r="J26" i="8"/>
  <c r="I27" i="8"/>
  <c r="J27" i="8"/>
  <c r="I28" i="8"/>
  <c r="J28" i="8"/>
  <c r="I29" i="8"/>
  <c r="J29" i="8"/>
  <c r="I30" i="8"/>
  <c r="J30" i="8"/>
  <c r="C31" i="8"/>
  <c r="I31" i="8"/>
  <c r="J31" i="8"/>
  <c r="I32" i="8"/>
  <c r="J32" i="8"/>
  <c r="I33" i="8"/>
  <c r="J33" i="8"/>
  <c r="I34" i="8"/>
  <c r="J34" i="8"/>
  <c r="I35" i="8"/>
  <c r="J35" i="8"/>
  <c r="I36" i="8"/>
  <c r="J36" i="8"/>
  <c r="I37" i="8"/>
  <c r="J37" i="8"/>
  <c r="I38" i="8"/>
  <c r="J38" i="8"/>
  <c r="I39" i="8"/>
  <c r="J39" i="8"/>
  <c r="I40" i="8"/>
  <c r="J40" i="8"/>
  <c r="I41" i="8"/>
  <c r="J41" i="8"/>
  <c r="I42" i="8"/>
  <c r="J42" i="8"/>
  <c r="I43" i="8"/>
  <c r="J43" i="8"/>
  <c r="A1" i="7"/>
  <c r="I6" i="7"/>
  <c r="E6" i="7" s="1"/>
  <c r="C19" i="8" s="1"/>
  <c r="I7" i="7"/>
  <c r="E7" i="7" s="1"/>
  <c r="C20" i="8" s="1"/>
  <c r="I8" i="7"/>
  <c r="E8" i="7" s="1"/>
  <c r="C21" i="8" s="1"/>
  <c r="I9" i="7"/>
  <c r="E9" i="7" s="1"/>
  <c r="C22" i="8" s="1"/>
  <c r="I10" i="7"/>
  <c r="E10" i="7" s="1"/>
  <c r="C23" i="8" s="1"/>
  <c r="I11" i="7"/>
  <c r="E11" i="7" s="1"/>
  <c r="C24" i="8" s="1"/>
  <c r="A12" i="7"/>
  <c r="I12" i="7"/>
  <c r="E12" i="7" s="1"/>
  <c r="C25" i="8" s="1"/>
  <c r="I13" i="7"/>
  <c r="E13" i="7" s="1"/>
  <c r="C26" i="8" s="1"/>
  <c r="I14" i="7"/>
  <c r="E14" i="7" s="1"/>
  <c r="C27" i="8" s="1"/>
  <c r="I15" i="7"/>
  <c r="E15" i="7" s="1"/>
  <c r="C28" i="8" s="1"/>
  <c r="I16" i="7"/>
  <c r="E16" i="7" s="1"/>
  <c r="C29" i="8" s="1"/>
  <c r="I17" i="7"/>
  <c r="E17" i="7" s="1"/>
  <c r="C30" i="8" s="1"/>
  <c r="J18" i="7"/>
  <c r="E19" i="7"/>
  <c r="E25" i="7"/>
  <c r="E26" i="7"/>
  <c r="E27" i="7"/>
  <c r="N29" i="7"/>
  <c r="N30" i="7"/>
  <c r="N31" i="7"/>
  <c r="N32" i="7"/>
  <c r="F10" i="7" s="1"/>
  <c r="R32" i="7"/>
  <c r="T32" i="7"/>
  <c r="N33" i="7"/>
  <c r="T33" i="7"/>
  <c r="N34" i="7"/>
  <c r="F12" i="7" s="1"/>
  <c r="R34" i="7"/>
  <c r="T34" i="7"/>
  <c r="N35" i="7"/>
  <c r="F13" i="7" s="1"/>
  <c r="R35" i="7"/>
  <c r="T35" i="7"/>
  <c r="N36" i="7"/>
  <c r="F14" i="7" s="1"/>
  <c r="R36" i="7"/>
  <c r="T36" i="7"/>
  <c r="N37" i="7"/>
  <c r="F15" i="7" s="1"/>
  <c r="R37" i="7"/>
  <c r="N38" i="7"/>
  <c r="F16" i="7" s="1"/>
  <c r="R38" i="7"/>
  <c r="N39" i="7"/>
  <c r="F17" i="7" s="1"/>
  <c r="R39" i="7"/>
  <c r="T40" i="7"/>
  <c r="K41" i="7"/>
  <c r="L41" i="7"/>
  <c r="M41" i="7"/>
  <c r="T42" i="7"/>
  <c r="A1" i="49"/>
  <c r="B4" i="49"/>
  <c r="B5" i="49"/>
  <c r="B6" i="49"/>
  <c r="B7" i="49"/>
  <c r="C7" i="49"/>
  <c r="C10" i="49"/>
  <c r="C11" i="49"/>
  <c r="G11" i="49"/>
  <c r="H11" i="49"/>
  <c r="G12" i="49"/>
  <c r="H12" i="49"/>
  <c r="B15" i="49"/>
  <c r="B18" i="49"/>
  <c r="B19" i="49"/>
  <c r="B20" i="49"/>
  <c r="B21" i="49"/>
  <c r="C28" i="49"/>
  <c r="D28" i="49"/>
  <c r="E28" i="49"/>
  <c r="D29" i="49"/>
  <c r="E29" i="49"/>
  <c r="B30" i="49"/>
  <c r="D30" i="49"/>
  <c r="E30" i="49"/>
  <c r="A31" i="49"/>
  <c r="D31" i="49"/>
  <c r="E31" i="49"/>
  <c r="C34" i="49"/>
  <c r="D34" i="49"/>
  <c r="E34" i="49"/>
  <c r="D35" i="49"/>
  <c r="E35" i="49"/>
  <c r="D36" i="49"/>
  <c r="E36" i="49"/>
  <c r="C37" i="49"/>
  <c r="D37" i="49"/>
  <c r="E37" i="49"/>
  <c r="A38" i="49"/>
  <c r="D38" i="49"/>
  <c r="E38" i="49"/>
  <c r="D41" i="49"/>
  <c r="E41" i="49"/>
  <c r="D42" i="49"/>
  <c r="E42" i="49"/>
  <c r="D43" i="49"/>
  <c r="E43" i="49"/>
  <c r="B44" i="49"/>
  <c r="D44" i="49"/>
  <c r="E44" i="49"/>
  <c r="D45" i="49"/>
  <c r="E45" i="49"/>
  <c r="A46" i="49"/>
  <c r="D46" i="49"/>
  <c r="E46" i="49"/>
  <c r="D49" i="49"/>
  <c r="E49" i="49"/>
  <c r="D50" i="49"/>
  <c r="E50" i="49"/>
  <c r="D51" i="49"/>
  <c r="E51" i="49"/>
  <c r="A52" i="49"/>
  <c r="D52" i="49"/>
  <c r="E52" i="49"/>
  <c r="D55" i="49"/>
  <c r="E55" i="49"/>
  <c r="D56" i="49"/>
  <c r="E56" i="49"/>
  <c r="D57" i="49"/>
  <c r="E57" i="49"/>
  <c r="D58" i="49"/>
  <c r="E58" i="49"/>
  <c r="C59" i="49"/>
  <c r="D59" i="49"/>
  <c r="E59" i="49"/>
  <c r="D60" i="49"/>
  <c r="E60" i="49"/>
  <c r="D61" i="49"/>
  <c r="E61" i="49"/>
  <c r="D62" i="49"/>
  <c r="E62" i="49"/>
  <c r="A63" i="49"/>
  <c r="D63" i="49"/>
  <c r="E63" i="49"/>
  <c r="E66" i="49"/>
  <c r="E68" i="49"/>
  <c r="E69" i="49"/>
  <c r="E70" i="49"/>
  <c r="A71" i="49"/>
  <c r="D71" i="49"/>
  <c r="E71" i="49"/>
  <c r="D74" i="49"/>
  <c r="E74" i="49"/>
  <c r="D75" i="49"/>
  <c r="E75" i="49"/>
  <c r="F75" i="49"/>
  <c r="H75" i="49"/>
  <c r="D77" i="49"/>
  <c r="E77" i="49"/>
  <c r="E78" i="49"/>
  <c r="D79" i="49"/>
  <c r="E79" i="49"/>
  <c r="D80" i="49"/>
  <c r="E80" i="49"/>
  <c r="E81" i="49"/>
  <c r="A82" i="49"/>
  <c r="D82" i="49"/>
  <c r="E82" i="49"/>
  <c r="D83" i="49"/>
  <c r="D84" i="49"/>
  <c r="C88" i="49"/>
  <c r="I88" i="49"/>
  <c r="J88" i="49"/>
  <c r="L88" i="49"/>
  <c r="M88" i="49"/>
  <c r="J89" i="49"/>
  <c r="J90" i="49"/>
  <c r="D92" i="49"/>
  <c r="I92" i="49"/>
  <c r="J92" i="49"/>
  <c r="J93" i="49"/>
  <c r="J94" i="49"/>
  <c r="D97" i="49"/>
  <c r="J97" i="49"/>
  <c r="K97" i="49"/>
  <c r="D98" i="49"/>
  <c r="J98" i="49"/>
  <c r="K98" i="49"/>
  <c r="J99" i="49"/>
  <c r="K99" i="49"/>
  <c r="D100" i="49"/>
  <c r="D101" i="49"/>
  <c r="D103" i="49"/>
  <c r="D104" i="49"/>
  <c r="D105" i="49"/>
  <c r="D106" i="49"/>
  <c r="R30" i="7" l="1"/>
  <c r="F8" i="7"/>
  <c r="F9" i="7"/>
  <c r="R31" i="7"/>
  <c r="F11" i="7"/>
  <c r="R33" i="7"/>
  <c r="R29" i="7"/>
  <c r="F7" i="7"/>
  <c r="N41" i="7"/>
  <c r="U40" i="7" s="1"/>
  <c r="R28" i="7"/>
  <c r="F6" i="7"/>
  <c r="F18" i="7" s="1"/>
  <c r="F19" i="7" s="1"/>
  <c r="A13" i="7" l="1"/>
  <c r="F25" i="7"/>
  <c r="G25" i="7" l="1"/>
  <c r="F26" i="7"/>
  <c r="H16" i="7"/>
  <c r="H15" i="7"/>
  <c r="H13" i="7"/>
  <c r="H11" i="7"/>
  <c r="H10" i="7" l="1"/>
  <c r="H9" i="7"/>
  <c r="H6" i="7"/>
  <c r="E28" i="7"/>
  <c r="H14" i="7"/>
  <c r="H12" i="7"/>
  <c r="H7" i="7"/>
  <c r="H17" i="7"/>
  <c r="H8" i="7"/>
  <c r="K16" i="7"/>
  <c r="B29" i="8"/>
  <c r="D29" i="8" s="1"/>
  <c r="K15" i="7"/>
  <c r="B28" i="8"/>
  <c r="D28" i="8" s="1"/>
  <c r="B26" i="8"/>
  <c r="D26" i="8" s="1"/>
  <c r="K13" i="7"/>
  <c r="B24" i="8"/>
  <c r="D24" i="8" s="1"/>
  <c r="K11" i="7"/>
  <c r="K10" i="7" l="1"/>
  <c r="B23" i="8"/>
  <c r="D23" i="8" s="1"/>
  <c r="B22" i="8"/>
  <c r="D22" i="8" s="1"/>
  <c r="K9" i="7"/>
  <c r="B19" i="8"/>
  <c r="D19" i="8" s="1"/>
  <c r="D31" i="8" s="1"/>
  <c r="H18" i="8" s="1"/>
  <c r="G18" i="8" s="1"/>
  <c r="K6" i="7"/>
  <c r="H18" i="7"/>
  <c r="B31" i="8" s="1"/>
  <c r="K14" i="7"/>
  <c r="B27" i="8"/>
  <c r="D27" i="8" s="1"/>
  <c r="K12" i="7"/>
  <c r="B25" i="8"/>
  <c r="D25" i="8" s="1"/>
  <c r="B20" i="8"/>
  <c r="D20" i="8" s="1"/>
  <c r="K7" i="7"/>
  <c r="K17" i="7"/>
  <c r="B30" i="8"/>
  <c r="D30" i="8" s="1"/>
  <c r="K8" i="7"/>
  <c r="B21" i="8"/>
  <c r="D21" i="8" s="1"/>
  <c r="H19" i="8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G19" i="8" l="1"/>
  <c r="G20" i="8" s="1"/>
  <c r="G21" i="8"/>
  <c r="G22" i="8" s="1"/>
  <c r="G23" i="8" s="1"/>
  <c r="G24" i="8" s="1"/>
  <c r="G25" i="8" s="1"/>
  <c r="G26" i="8" s="1"/>
  <c r="G27" i="8" s="1"/>
  <c r="G28" i="8" s="1"/>
  <c r="G29" i="8" s="1"/>
  <c r="G30" i="8" s="1"/>
  <c r="G31" i="8" s="1"/>
  <c r="G32" i="8" s="1"/>
  <c r="G33" i="8" s="1"/>
  <c r="G34" i="8" s="1"/>
  <c r="G35" i="8" s="1"/>
  <c r="G36" i="8" s="1"/>
  <c r="G37" i="8" s="1"/>
  <c r="G38" i="8" s="1"/>
  <c r="G39" i="8" s="1"/>
  <c r="G40" i="8" s="1"/>
  <c r="G41" i="8" s="1"/>
  <c r="G42" i="8" s="1"/>
  <c r="G43" i="8" s="1"/>
</calcChain>
</file>

<file path=xl/sharedStrings.xml><?xml version="1.0" encoding="utf-8"?>
<sst xmlns="http://schemas.openxmlformats.org/spreadsheetml/2006/main" count="264" uniqueCount="211">
  <si>
    <t>AC Breaker</t>
  </si>
  <si>
    <t>Labor</t>
  </si>
  <si>
    <t>Total</t>
  </si>
  <si>
    <t>Total Labor</t>
  </si>
  <si>
    <t>Cost of Sale</t>
  </si>
  <si>
    <t>Overhead</t>
  </si>
  <si>
    <t>Miscellaneous</t>
  </si>
  <si>
    <t>Rack Pipe (ft)</t>
  </si>
  <si>
    <t>Trenching Equip Rental (days)</t>
  </si>
  <si>
    <t>Rack Labor (hrs)</t>
  </si>
  <si>
    <t>Rack Construction Equip Rental (days)</t>
  </si>
  <si>
    <t>Trenching Labor (hrs @ 20ft/hr)</t>
  </si>
  <si>
    <t>Conduit (ft)</t>
  </si>
  <si>
    <t>System Wattage:</t>
  </si>
  <si>
    <t>CEC Wattage:</t>
  </si>
  <si>
    <t>Modules:</t>
  </si>
  <si>
    <t>qty:</t>
  </si>
  <si>
    <t>watts per panel (CEC):</t>
  </si>
  <si>
    <t>Inverter:</t>
  </si>
  <si>
    <t>Permit Fees</t>
  </si>
  <si>
    <t>Drafting Charges</t>
  </si>
  <si>
    <t>Inverter Efficiency:</t>
  </si>
  <si>
    <t>watts per panel:</t>
  </si>
  <si>
    <t>Tie-In Labor (hrs)</t>
  </si>
  <si>
    <t>Drafting Labor (hrs)</t>
  </si>
  <si>
    <t>Concrete (yds)</t>
  </si>
  <si>
    <t>Installation Labor (hrs)</t>
  </si>
  <si>
    <t>Miscellaneous Labor</t>
  </si>
  <si>
    <t>Sale Price</t>
  </si>
  <si>
    <t>Commission</t>
  </si>
  <si>
    <t>CEC</t>
  </si>
  <si>
    <t>Interest Tax Deduction</t>
  </si>
  <si>
    <t>Federal Tax Credit</t>
  </si>
  <si>
    <t>Rate</t>
  </si>
  <si>
    <t>Price/watt</t>
  </si>
  <si>
    <t>Total Price</t>
  </si>
  <si>
    <t>Total Discounts:</t>
  </si>
  <si>
    <t>Final Net System Cost:</t>
  </si>
  <si>
    <t>Rebate</t>
  </si>
  <si>
    <t>Net System Price After Rebate:</t>
  </si>
  <si>
    <t>CEC Sale Price</t>
  </si>
  <si>
    <t>Alternative Pricing @ CEC Wattage:</t>
  </si>
  <si>
    <t>Utility Tie-In</t>
  </si>
  <si>
    <t>PV System</t>
  </si>
  <si>
    <t>SOL-GEN Quote</t>
  </si>
  <si>
    <t>Ground Rack</t>
  </si>
  <si>
    <t>Paperwork &amp; Approvals</t>
  </si>
  <si>
    <t>ITEM</t>
  </si>
  <si>
    <t>QTY</t>
  </si>
  <si>
    <t>COST/UNIT</t>
  </si>
  <si>
    <t>TOTAL COST</t>
  </si>
  <si>
    <t>TYPE</t>
  </si>
  <si>
    <t>JOB COST</t>
  </si>
  <si>
    <t>ESTIMATED SALE PRICE</t>
  </si>
  <si>
    <t>ESTIMATED CUSTOMER DISCOUNTS</t>
  </si>
  <si>
    <t>Estimated System AC Watts:</t>
  </si>
  <si>
    <t>Disconnects, Boxes, Wire, Conduit, etc</t>
  </si>
  <si>
    <t>Structural Engineering (hrs)</t>
  </si>
  <si>
    <t>Electrical Engineering (hrs)</t>
  </si>
  <si>
    <t>Application Cost</t>
  </si>
  <si>
    <t>Permits Labor (trips)</t>
  </si>
  <si>
    <t>Application Labor (trips)</t>
  </si>
  <si>
    <t>Financing Fees</t>
  </si>
  <si>
    <t>Rebate Carry Costs ($/W)</t>
  </si>
  <si>
    <t>man-hrs</t>
  </si>
  <si>
    <t>Warranty</t>
  </si>
  <si>
    <t>per DC watt</t>
  </si>
  <si>
    <t>per AC watt</t>
  </si>
  <si>
    <t>DC</t>
  </si>
  <si>
    <t>per CEC watt</t>
  </si>
  <si>
    <t>Array-to-Inverter Wire Run</t>
  </si>
  <si>
    <t>Additional Mounting Hardware</t>
  </si>
  <si>
    <t>PG&amp;E</t>
  </si>
  <si>
    <t>MID</t>
  </si>
  <si>
    <t>TID</t>
  </si>
  <si>
    <t>ESTIMATED</t>
  </si>
  <si>
    <t>ACTUAL</t>
  </si>
  <si>
    <t>Month</t>
  </si>
  <si>
    <t>Adj.</t>
  </si>
  <si>
    <t>kWhr</t>
  </si>
  <si>
    <t>January</t>
  </si>
  <si>
    <t>February</t>
  </si>
  <si>
    <t>March</t>
  </si>
  <si>
    <t>April</t>
  </si>
  <si>
    <t>May</t>
  </si>
  <si>
    <t>Error Check:</t>
  </si>
  <si>
    <t>June</t>
  </si>
  <si>
    <t>July</t>
  </si>
  <si>
    <t>August</t>
  </si>
  <si>
    <t>September</t>
  </si>
  <si>
    <t>October</t>
  </si>
  <si>
    <t>November</t>
  </si>
  <si>
    <t>December</t>
  </si>
  <si>
    <t>Annual Total:</t>
  </si>
  <si>
    <t>Monthly Avg.</t>
  </si>
  <si>
    <t>SYSTEM SIZE</t>
  </si>
  <si>
    <t>Total Conversion Efficiency</t>
  </si>
  <si>
    <t>Actual AC Power Needed (kW)</t>
  </si>
  <si>
    <t>DC System Size (kW)</t>
  </si>
  <si>
    <t>USAGE DATA</t>
  </si>
  <si>
    <t>AC-DC Derate Factor:</t>
  </si>
  <si>
    <t>Estimated Annual kWhr:</t>
  </si>
  <si>
    <t>Equipment</t>
  </si>
  <si>
    <t>Miscellaneous Equipment</t>
  </si>
  <si>
    <t>Total Equipment</t>
  </si>
  <si>
    <t>$/Watt</t>
  </si>
  <si>
    <t>Extra Travel</t>
  </si>
  <si>
    <t xml:space="preserve">  </t>
  </si>
  <si>
    <t>(@ 180°)</t>
  </si>
  <si>
    <t>SOLAR</t>
  </si>
  <si>
    <t>System Sizing</t>
  </si>
  <si>
    <t>KW AC</t>
  </si>
  <si>
    <t>per Watt AC</t>
  </si>
  <si>
    <t>per KWhr</t>
  </si>
  <si>
    <t>Annual Rate Inflation</t>
  </si>
  <si>
    <t>Utility Rebate</t>
  </si>
  <si>
    <t>Annual KWhr Usage</t>
  </si>
  <si>
    <t>Federal Tax Credi</t>
  </si>
  <si>
    <t>Annual</t>
  </si>
  <si>
    <t xml:space="preserve">Without PV </t>
  </si>
  <si>
    <t>TOTAL</t>
  </si>
  <si>
    <t>Starting Year:</t>
  </si>
  <si>
    <t>CASH FLOW</t>
  </si>
  <si>
    <t>ENERGY PURCHASE</t>
  </si>
  <si>
    <t xml:space="preserve">With PV </t>
  </si>
  <si>
    <t>Gross System Cost</t>
  </si>
  <si>
    <t>Net System Cost</t>
  </si>
  <si>
    <t>Solar Production</t>
  </si>
  <si>
    <t>Energy Purchase (w/o PV)</t>
  </si>
  <si>
    <t>Net Energy Purchase</t>
  </si>
  <si>
    <t>strings:</t>
  </si>
  <si>
    <t>Labor Rates:</t>
  </si>
  <si>
    <t>Bidding</t>
  </si>
  <si>
    <t>Installer</t>
  </si>
  <si>
    <t>Electrician</t>
  </si>
  <si>
    <t>Supervision</t>
  </si>
  <si>
    <t>Engineering</t>
  </si>
  <si>
    <t>Designer</t>
  </si>
  <si>
    <t>Safety</t>
  </si>
  <si>
    <t># / string:</t>
  </si>
  <si>
    <t>Main Panel Amperage</t>
  </si>
  <si>
    <t>Main Breaker Amperage</t>
  </si>
  <si>
    <t>PV Breaker Amperage (max)</t>
  </si>
  <si>
    <t>Max PV Wattage (AC)</t>
  </si>
  <si>
    <t>Max PV Wattage (Approx DC)</t>
  </si>
  <si>
    <t>Inverter Output Amperage (max sum)</t>
  </si>
  <si>
    <t>modules max</t>
  </si>
  <si>
    <t>Name</t>
  </si>
  <si>
    <t>Address</t>
  </si>
  <si>
    <t>City</t>
  </si>
  <si>
    <t>Zip</t>
  </si>
  <si>
    <t>Phone 1</t>
  </si>
  <si>
    <t>Phone 2</t>
  </si>
  <si>
    <t>Job Name</t>
  </si>
  <si>
    <t>Wire (ft)</t>
  </si>
  <si>
    <t>Conduit &amp; Wire Labor (hr)</t>
  </si>
  <si>
    <t>Acct</t>
  </si>
  <si>
    <t>modules (AC)</t>
  </si>
  <si>
    <t>modules (DC)</t>
  </si>
  <si>
    <t>Meter</t>
  </si>
  <si>
    <t>.</t>
  </si>
  <si>
    <t>Price</t>
  </si>
  <si>
    <t>BOS:</t>
  </si>
  <si>
    <t>Email 2</t>
  </si>
  <si>
    <t>Email 1</t>
  </si>
  <si>
    <t>Painting, Labels</t>
  </si>
  <si>
    <t>This Year</t>
  </si>
  <si>
    <t>Last Year</t>
  </si>
  <si>
    <t>Average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</si>
  <si>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</si>
  <si>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</si>
  <si>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</si>
  <si>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</si>
  <si>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</si>
  <si>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</si>
  <si>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</si>
  <si>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</si>
  <si>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</si>
  <si>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</si>
  <si>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</si>
  <si>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First Year</t>
  </si>
  <si>
    <t>KWH Usage</t>
  </si>
  <si>
    <t>$/watt</t>
  </si>
  <si>
    <t>Andy</t>
  </si>
  <si>
    <t>no derate</t>
  </si>
  <si>
    <t>estimated</t>
  </si>
  <si>
    <t>Browning Invoice</t>
  </si>
  <si>
    <t>Aaron</t>
  </si>
  <si>
    <t>@14.25%</t>
  </si>
  <si>
    <t>PCS</t>
  </si>
  <si>
    <t>MSE410</t>
  </si>
  <si>
    <t>IQ8AC</t>
  </si>
  <si>
    <t>{{JOB_NAME}}</t>
  </si>
  <si>
    <t>{{CUSTOMER_NAME}}</t>
  </si>
  <si>
    <t>{{CUSTOMER_ADDRESS_STREET}}</t>
  </si>
  <si>
    <t>{{CUSTOMER_ADDRESS_CITY}}</t>
  </si>
  <si>
    <t>{{CUSTOMER_ADDRESS_ZIP}}</t>
  </si>
  <si>
    <t>{{CUSTOMER_EMAIL}}</t>
  </si>
  <si>
    <t>{{USAGE_JAN}}</t>
  </si>
  <si>
    <t>{{USAGE_FEB}}</t>
  </si>
  <si>
    <t>{{USAGE_MAR}}</t>
  </si>
  <si>
    <t>{{USAGE_APR}}</t>
  </si>
  <si>
    <t>{{USAGE_MAY}}</t>
  </si>
  <si>
    <t>{{USAGE_JUN}}</t>
  </si>
  <si>
    <t>{{USAGE_JUL}}</t>
  </si>
  <si>
    <t>{{USAGE_AUG}}</t>
  </si>
  <si>
    <t>{{USAGE_SEP}}</t>
  </si>
  <si>
    <t>{{USAGE_OCT}}</t>
  </si>
  <si>
    <t>{{USAGE_NOV}}</t>
  </si>
  <si>
    <t>{{USAGE_DEC}}</t>
  </si>
  <si>
    <t>{{YEAR}}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</si>
</sst>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&quot;$&quot;* #,##0_);_(&quot;$&quot;* \(#,##0\);_(&quot;$&quot;* &quot;-&quot;??_);_(@_)"/>
    <numFmt numFmtId="166" formatCode="0.0"/>
    <numFmt numFmtId="167" formatCode="0.000"/>
    <numFmt numFmtId="168" formatCode="_(* #,##0_);_(* \(#,##0\);_(* &quot;-&quot;??_);_(@_)"/>
    <numFmt numFmtId="169" formatCode="&quot;$&quot;#,##0.0000_);[Red]\(&quot;$&quot;#,##0.0000\)"/>
    <numFmt numFmtId="170" formatCode="_(&quot;$&quot;* #,##0.0000_);_(&quot;$&quot;* \(#,##0.0000\);_(&quot;$&quot;* &quot;-&quot;??_);_(@_)"/>
    <numFmt numFmtId="171" formatCode="#,##0.0_);\(#,##0.0\)"/>
  </numFmts>
  <fonts count="30">
    <font>
      <sz val="10"/>
      <name val="Arial"/>
    </font>
    <font>
      <sz val="10"/>
      <name val="Arial"/>
    </font>
    <font>
      <sz val="8"/>
      <name val="Arial"/>
      <family val="2"/>
    </font>
    <font>
      <b/>
      <sz val="10"/>
      <name val="Arial"/>
      <family val="2"/>
    </font>
    <font>
      <b/>
      <u/>
      <sz val="10"/>
      <name val="Arial"/>
      <family val="2"/>
    </font>
    <font>
      <u/>
      <sz val="10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u/>
      <sz val="10"/>
      <color indexed="12"/>
      <name val="Arial"/>
      <family val="2"/>
    </font>
    <font>
      <u val="singleAccounting"/>
      <sz val="10"/>
      <name val="Arial"/>
      <family val="2"/>
    </font>
    <font>
      <b/>
      <i/>
      <sz val="10"/>
      <name val="Arial"/>
      <family val="2"/>
    </font>
    <font>
      <i/>
      <sz val="8"/>
      <name val="Arial"/>
      <family val="2"/>
    </font>
    <font>
      <i/>
      <u/>
      <sz val="10"/>
      <name val="Arial"/>
      <family val="2"/>
    </font>
    <font>
      <b/>
      <i/>
      <u/>
      <sz val="10"/>
      <name val="Arial"/>
      <family val="2"/>
    </font>
    <font>
      <u/>
      <sz val="10"/>
      <name val="Arial"/>
      <family val="2"/>
    </font>
    <font>
      <sz val="10"/>
      <color indexed="23"/>
      <name val="Arial"/>
      <family val="2"/>
    </font>
    <font>
      <i/>
      <sz val="10"/>
      <color indexed="23"/>
      <name val="Arial"/>
      <family val="2"/>
    </font>
    <font>
      <b/>
      <sz val="10"/>
      <color indexed="23"/>
      <name val="Arial"/>
      <family val="2"/>
    </font>
    <font>
      <u/>
      <sz val="10"/>
      <color indexed="23"/>
      <name val="Arial"/>
      <family val="2"/>
    </font>
    <font>
      <sz val="10"/>
      <color indexed="8"/>
      <name val="Bookman Old Style"/>
      <family val="1"/>
    </font>
    <font>
      <sz val="12"/>
      <name val="Trajan Pro"/>
      <family val="1"/>
    </font>
    <font>
      <sz val="6"/>
      <name val="Trajan Pro"/>
      <family val="1"/>
    </font>
    <font>
      <b/>
      <sz val="14"/>
      <name val="Trajan Pro"/>
      <family val="1"/>
    </font>
    <font>
      <b/>
      <sz val="12"/>
      <name val="Trajan Pro"/>
      <family val="1"/>
    </font>
    <font>
      <sz val="10"/>
      <name val="Trajan Pro"/>
      <family val="1"/>
    </font>
    <font>
      <sz val="12"/>
      <name val="Calibri"/>
      <family val="2"/>
    </font>
    <font>
      <sz val="10"/>
      <name val="Arial"/>
      <family val="2"/>
    </font>
    <font>
      <sz val="10"/>
      <name val="Arial"/>
    </font>
    <font>
      <sz val="11"/>
      <color theme="1"/>
      <name val="Calibri"/>
      <family val="2"/>
      <scheme val="minor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0">
    <xf numFmtId="0" fontId="0" fillId="0" borderId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8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28" fillId="0" borderId="0"/>
    <xf numFmtId="9" fontId="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27" fillId="0" borderId="0" applyFont="0" applyFill="0" applyBorder="0" applyAlignment="0" applyProtection="0"/>
  </cellStyleXfs>
  <cellXfs count="17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9" fontId="6" fillId="0" borderId="0" xfId="0" applyNumberFormat="1" applyFont="1" applyAlignment="1">
      <alignment horizontal="center"/>
    </xf>
    <xf numFmtId="0" fontId="6" fillId="0" borderId="1" xfId="0" applyFont="1" applyBorder="1"/>
    <xf numFmtId="0" fontId="6" fillId="2" borderId="0" xfId="0" applyFont="1" applyFill="1" applyAlignment="1">
      <alignment horizontal="center"/>
    </xf>
    <xf numFmtId="3" fontId="6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4" fontId="6" fillId="0" borderId="0" xfId="0" applyNumberFormat="1" applyFont="1"/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9" fontId="6" fillId="2" borderId="0" xfId="0" applyNumberFormat="1" applyFont="1" applyFill="1" applyAlignment="1">
      <alignment horizontal="center"/>
    </xf>
    <xf numFmtId="0" fontId="10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44" fontId="7" fillId="0" borderId="0" xfId="0" applyNumberFormat="1" applyFont="1"/>
    <xf numFmtId="0" fontId="11" fillId="0" borderId="0" xfId="0" applyFont="1"/>
    <xf numFmtId="43" fontId="6" fillId="0" borderId="0" xfId="0" applyNumberFormat="1" applyFont="1"/>
    <xf numFmtId="0" fontId="6" fillId="0" borderId="2" xfId="0" applyFont="1" applyBorder="1"/>
    <xf numFmtId="0" fontId="3" fillId="0" borderId="2" xfId="0" applyFont="1" applyBorder="1"/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164" fontId="6" fillId="0" borderId="0" xfId="0" applyNumberFormat="1" applyFont="1"/>
    <xf numFmtId="165" fontId="6" fillId="0" borderId="0" xfId="0" applyNumberFormat="1" applyFont="1"/>
    <xf numFmtId="0" fontId="7" fillId="0" borderId="5" xfId="0" applyFont="1" applyBorder="1" applyAlignment="1">
      <alignment horizontal="right"/>
    </xf>
    <xf numFmtId="0" fontId="6" fillId="0" borderId="6" xfId="0" applyFont="1" applyBorder="1"/>
    <xf numFmtId="44" fontId="6" fillId="0" borderId="1" xfId="0" applyNumberFormat="1" applyFont="1" applyBorder="1"/>
    <xf numFmtId="0" fontId="6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6" fillId="0" borderId="8" xfId="0" applyFont="1" applyBorder="1"/>
    <xf numFmtId="0" fontId="6" fillId="0" borderId="5" xfId="0" applyFont="1" applyBorder="1" applyAlignment="1">
      <alignment horizontal="right"/>
    </xf>
    <xf numFmtId="0" fontId="6" fillId="0" borderId="6" xfId="0" applyFont="1" applyBorder="1" applyAlignment="1">
      <alignment horizontal="right"/>
    </xf>
    <xf numFmtId="0" fontId="12" fillId="0" borderId="7" xfId="0" applyFont="1" applyBorder="1" applyAlignment="1">
      <alignment horizontal="right"/>
    </xf>
    <xf numFmtId="0" fontId="12" fillId="0" borderId="5" xfId="0" applyFont="1" applyBorder="1" applyAlignment="1">
      <alignment horizontal="right"/>
    </xf>
    <xf numFmtId="0" fontId="13" fillId="0" borderId="0" xfId="0" applyFont="1"/>
    <xf numFmtId="0" fontId="10" fillId="0" borderId="0" xfId="0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/>
    </xf>
    <xf numFmtId="3" fontId="0" fillId="0" borderId="0" xfId="0" applyNumberFormat="1"/>
    <xf numFmtId="3" fontId="0" fillId="2" borderId="0" xfId="0" applyNumberFormat="1" applyFill="1"/>
    <xf numFmtId="9" fontId="1" fillId="0" borderId="0" xfId="14" applyAlignment="1">
      <alignment horizontal="center"/>
    </xf>
    <xf numFmtId="0" fontId="4" fillId="0" borderId="0" xfId="0" applyFont="1" applyAlignment="1">
      <alignment horizontal="right"/>
    </xf>
    <xf numFmtId="9" fontId="1" fillId="0" borderId="0" xfId="14"/>
    <xf numFmtId="0" fontId="7" fillId="0" borderId="0" xfId="0" applyFont="1" applyAlignment="1">
      <alignment horizontal="right"/>
    </xf>
    <xf numFmtId="9" fontId="1" fillId="2" borderId="0" xfId="14" applyFill="1"/>
    <xf numFmtId="166" fontId="0" fillId="0" borderId="0" xfId="0" applyNumberFormat="1"/>
    <xf numFmtId="0" fontId="10" fillId="0" borderId="0" xfId="0" applyFont="1" applyAlignment="1">
      <alignment horizontal="right"/>
    </xf>
    <xf numFmtId="166" fontId="3" fillId="0" borderId="0" xfId="0" applyNumberFormat="1" applyFont="1"/>
    <xf numFmtId="3" fontId="7" fillId="0" borderId="0" xfId="0" applyNumberFormat="1" applyFont="1"/>
    <xf numFmtId="0" fontId="0" fillId="0" borderId="5" xfId="0" applyBorder="1"/>
    <xf numFmtId="2" fontId="0" fillId="0" borderId="0" xfId="0" applyNumberFormat="1" applyAlignment="1">
      <alignment horizontal="center"/>
    </xf>
    <xf numFmtId="44" fontId="3" fillId="0" borderId="0" xfId="0" applyNumberFormat="1" applyFont="1"/>
    <xf numFmtId="3" fontId="0" fillId="0" borderId="1" xfId="0" applyNumberFormat="1" applyBorder="1"/>
    <xf numFmtId="3" fontId="0" fillId="2" borderId="1" xfId="0" applyNumberFormat="1" applyFill="1" applyBorder="1"/>
    <xf numFmtId="0" fontId="0" fillId="0" borderId="1" xfId="0" applyBorder="1"/>
    <xf numFmtId="0" fontId="19" fillId="0" borderId="0" xfId="0" applyFont="1"/>
    <xf numFmtId="44" fontId="0" fillId="0" borderId="5" xfId="0" applyNumberFormat="1" applyBorder="1"/>
    <xf numFmtId="44" fontId="0" fillId="0" borderId="0" xfId="0" applyNumberFormat="1"/>
    <xf numFmtId="0" fontId="14" fillId="0" borderId="7" xfId="0" applyFont="1" applyBorder="1" applyAlignment="1">
      <alignment horizontal="center"/>
    </xf>
    <xf numFmtId="0" fontId="14" fillId="0" borderId="4" xfId="0" applyFont="1" applyBorder="1" applyAlignment="1">
      <alignment horizontal="center"/>
    </xf>
    <xf numFmtId="44" fontId="0" fillId="0" borderId="2" xfId="0" applyNumberFormat="1" applyBorder="1"/>
    <xf numFmtId="44" fontId="0" fillId="0" borderId="6" xfId="0" applyNumberFormat="1" applyBorder="1"/>
    <xf numFmtId="44" fontId="0" fillId="0" borderId="3" xfId="0" applyNumberFormat="1" applyBorder="1"/>
    <xf numFmtId="44" fontId="0" fillId="0" borderId="1" xfId="14" applyNumberFormat="1" applyFont="1" applyBorder="1"/>
    <xf numFmtId="3" fontId="0" fillId="0" borderId="0" xfId="0" applyNumberFormat="1" applyAlignment="1">
      <alignment horizontal="center"/>
    </xf>
    <xf numFmtId="3" fontId="0" fillId="0" borderId="1" xfId="0" applyNumberFormat="1" applyBorder="1" applyAlignment="1">
      <alignment horizontal="center"/>
    </xf>
    <xf numFmtId="44" fontId="3" fillId="2" borderId="0" xfId="6" applyFont="1" applyFill="1"/>
    <xf numFmtId="9" fontId="3" fillId="2" borderId="0" xfId="14" applyFont="1" applyFill="1"/>
    <xf numFmtId="37" fontId="6" fillId="0" borderId="0" xfId="0" applyNumberFormat="1" applyFont="1" applyAlignment="1">
      <alignment horizontal="center"/>
    </xf>
    <xf numFmtId="166" fontId="6" fillId="0" borderId="0" xfId="0" applyNumberFormat="1" applyFont="1" applyAlignment="1">
      <alignment horizontal="center"/>
    </xf>
    <xf numFmtId="1" fontId="7" fillId="0" borderId="0" xfId="0" applyNumberFormat="1" applyFont="1"/>
    <xf numFmtId="0" fontId="6" fillId="0" borderId="0" xfId="0" applyFont="1" applyAlignment="1">
      <alignment horizontal="left"/>
    </xf>
    <xf numFmtId="9" fontId="14" fillId="0" borderId="0" xfId="0" quotePrefix="1" applyNumberFormat="1" applyFont="1" applyAlignment="1">
      <alignment horizontal="center"/>
    </xf>
    <xf numFmtId="0" fontId="14" fillId="0" borderId="0" xfId="0" quotePrefix="1" applyFont="1" applyAlignment="1">
      <alignment horizontal="center"/>
    </xf>
    <xf numFmtId="168" fontId="0" fillId="0" borderId="0" xfId="1" applyNumberFormat="1" applyFont="1" applyAlignment="1">
      <alignment horizontal="right"/>
    </xf>
    <xf numFmtId="168" fontId="0" fillId="0" borderId="0" xfId="0" applyNumberFormat="1" applyAlignment="1">
      <alignment horizontal="right"/>
    </xf>
    <xf numFmtId="168" fontId="3" fillId="0" borderId="0" xfId="0" applyNumberFormat="1" applyFont="1" applyAlignment="1">
      <alignment horizontal="right"/>
    </xf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5" fontId="20" fillId="0" borderId="0" xfId="0" applyNumberFormat="1" applyFont="1" applyAlignment="1">
      <alignment horizontal="center" vertical="center"/>
    </xf>
    <xf numFmtId="44" fontId="9" fillId="0" borderId="0" xfId="7" applyFont="1" applyAlignment="1">
      <alignment horizontal="center"/>
    </xf>
    <xf numFmtId="0" fontId="24" fillId="0" borderId="0" xfId="0" applyFont="1" applyAlignment="1">
      <alignment horizontal="center" vertical="center"/>
    </xf>
    <xf numFmtId="6" fontId="24" fillId="0" borderId="0" xfId="0" applyNumberFormat="1" applyFont="1" applyAlignment="1">
      <alignment horizontal="center" vertical="center"/>
    </xf>
    <xf numFmtId="0" fontId="8" fillId="0" borderId="0" xfId="11" applyAlignment="1" applyProtection="1"/>
    <xf numFmtId="0" fontId="9" fillId="0" borderId="0" xfId="0" applyFont="1" applyAlignment="1">
      <alignment horizontal="center"/>
    </xf>
    <xf numFmtId="168" fontId="6" fillId="0" borderId="0" xfId="0" applyNumberFormat="1" applyFont="1"/>
    <xf numFmtId="0" fontId="25" fillId="0" borderId="0" xfId="0" applyFont="1" applyAlignment="1">
      <alignment vertical="center"/>
    </xf>
    <xf numFmtId="8" fontId="5" fillId="0" borderId="0" xfId="0" applyNumberFormat="1" applyFont="1" applyAlignment="1">
      <alignment horizontal="center"/>
    </xf>
    <xf numFmtId="168" fontId="5" fillId="0" borderId="0" xfId="2" applyNumberFormat="1" applyFont="1" applyAlignment="1">
      <alignment horizontal="center"/>
    </xf>
    <xf numFmtId="37" fontId="0" fillId="0" borderId="0" xfId="6" applyNumberFormat="1" applyFont="1"/>
    <xf numFmtId="38" fontId="0" fillId="0" borderId="0" xfId="0" applyNumberFormat="1"/>
    <xf numFmtId="38" fontId="0" fillId="0" borderId="0" xfId="2" applyNumberFormat="1" applyFont="1"/>
    <xf numFmtId="38" fontId="6" fillId="0" borderId="0" xfId="2" applyNumberFormat="1"/>
    <xf numFmtId="38" fontId="6" fillId="0" borderId="0" xfId="2" applyNumberFormat="1" applyAlignment="1">
      <alignment horizontal="right"/>
    </xf>
    <xf numFmtId="37" fontId="3" fillId="0" borderId="0" xfId="6" applyNumberFormat="1" applyFont="1"/>
    <xf numFmtId="3" fontId="3" fillId="0" borderId="0" xfId="0" applyNumberFormat="1" applyFont="1" applyAlignment="1">
      <alignment horizontal="center"/>
    </xf>
    <xf numFmtId="167" fontId="0" fillId="0" borderId="0" xfId="0" applyNumberFormat="1"/>
    <xf numFmtId="0" fontId="2" fillId="0" borderId="0" xfId="0" applyFont="1"/>
    <xf numFmtId="0" fontId="29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8" fontId="0" fillId="0" borderId="0" xfId="0" applyNumberFormat="1"/>
    <xf numFmtId="44" fontId="0" fillId="0" borderId="0" xfId="6" applyFont="1"/>
    <xf numFmtId="1" fontId="0" fillId="0" borderId="0" xfId="0" applyNumberFormat="1"/>
    <xf numFmtId="0" fontId="6" fillId="0" borderId="0" xfId="0" quotePrefix="1" applyFont="1"/>
    <xf numFmtId="169" fontId="0" fillId="0" borderId="0" xfId="0" applyNumberFormat="1"/>
    <xf numFmtId="44" fontId="6" fillId="0" borderId="0" xfId="10" applyFont="1" applyAlignment="1">
      <alignment horizontal="center"/>
    </xf>
    <xf numFmtId="44" fontId="6" fillId="0" borderId="0" xfId="10" applyFont="1" applyAlignment="1">
      <alignment horizontal="left"/>
    </xf>
    <xf numFmtId="3" fontId="6" fillId="0" borderId="0" xfId="5" applyNumberFormat="1" applyFont="1" applyAlignment="1">
      <alignment horizontal="center"/>
    </xf>
    <xf numFmtId="1" fontId="7" fillId="0" borderId="0" xfId="10" applyNumberFormat="1" applyFont="1" applyAlignment="1">
      <alignment horizontal="right"/>
    </xf>
    <xf numFmtId="44" fontId="7" fillId="0" borderId="0" xfId="10" applyFont="1" applyAlignment="1">
      <alignment horizontal="left"/>
    </xf>
    <xf numFmtId="44" fontId="9" fillId="0" borderId="0" xfId="10" applyFont="1" applyAlignment="1">
      <alignment horizontal="center"/>
    </xf>
    <xf numFmtId="37" fontId="3" fillId="0" borderId="0" xfId="10" applyNumberFormat="1" applyFont="1" applyFill="1" applyAlignment="1">
      <alignment horizontal="center"/>
    </xf>
    <xf numFmtId="37" fontId="3" fillId="2" borderId="0" xfId="10" applyNumberFormat="1" applyFont="1" applyFill="1" applyAlignment="1">
      <alignment horizontal="center"/>
    </xf>
    <xf numFmtId="171" fontId="3" fillId="2" borderId="0" xfId="10" applyNumberFormat="1" applyFont="1" applyFill="1" applyAlignment="1">
      <alignment horizontal="center"/>
    </xf>
    <xf numFmtId="44" fontId="6" fillId="0" borderId="0" xfId="7" applyFont="1"/>
    <xf numFmtId="44" fontId="6" fillId="2" borderId="0" xfId="10" applyFont="1" applyFill="1" applyAlignment="1">
      <alignment horizontal="center"/>
    </xf>
    <xf numFmtId="165" fontId="6" fillId="0" borderId="0" xfId="7" applyNumberFormat="1" applyFont="1"/>
    <xf numFmtId="44" fontId="6" fillId="0" borderId="0" xfId="10" applyFont="1"/>
    <xf numFmtId="37" fontId="6" fillId="0" borderId="0" xfId="10" applyNumberFormat="1" applyFont="1" applyAlignment="1">
      <alignment horizontal="center"/>
    </xf>
    <xf numFmtId="170" fontId="6" fillId="0" borderId="0" xfId="10" applyNumberFormat="1" applyFont="1" applyAlignment="1">
      <alignment horizontal="center"/>
    </xf>
    <xf numFmtId="164" fontId="6" fillId="2" borderId="0" xfId="18" applyNumberFormat="1" applyFont="1" applyFill="1" applyAlignment="1">
      <alignment horizontal="center"/>
    </xf>
    <xf numFmtId="9" fontId="6" fillId="0" borderId="0" xfId="18" applyFont="1" applyAlignment="1">
      <alignment horizontal="center"/>
    </xf>
    <xf numFmtId="164" fontId="6" fillId="0" borderId="0" xfId="18" applyNumberFormat="1" applyFont="1" applyAlignment="1">
      <alignment horizontal="center"/>
    </xf>
    <xf numFmtId="44" fontId="5" fillId="0" borderId="0" xfId="10" applyFont="1" applyAlignment="1">
      <alignment horizontal="center"/>
    </xf>
    <xf numFmtId="44" fontId="18" fillId="0" borderId="0" xfId="10" applyFont="1" applyAlignment="1">
      <alignment horizontal="center"/>
    </xf>
    <xf numFmtId="44" fontId="6" fillId="0" borderId="0" xfId="7" applyFont="1" applyFill="1" applyAlignment="1">
      <alignment horizontal="center"/>
    </xf>
    <xf numFmtId="44" fontId="15" fillId="0" borderId="0" xfId="10" applyFont="1" applyAlignment="1">
      <alignment horizontal="center"/>
    </xf>
    <xf numFmtId="44" fontId="6" fillId="0" borderId="0" xfId="10" applyFont="1" applyFill="1" applyAlignment="1">
      <alignment horizontal="center"/>
    </xf>
    <xf numFmtId="44" fontId="6" fillId="0" borderId="1" xfId="10" applyFont="1" applyBorder="1" applyAlignment="1">
      <alignment horizontal="center"/>
    </xf>
    <xf numFmtId="44" fontId="15" fillId="0" borderId="1" xfId="10" applyFont="1" applyBorder="1" applyAlignment="1">
      <alignment horizontal="center"/>
    </xf>
    <xf numFmtId="44" fontId="7" fillId="0" borderId="0" xfId="10" applyFont="1" applyFill="1" applyAlignment="1">
      <alignment horizontal="center"/>
    </xf>
    <xf numFmtId="44" fontId="7" fillId="0" borderId="0" xfId="10" applyFont="1" applyAlignment="1">
      <alignment horizontal="center"/>
    </xf>
    <xf numFmtId="44" fontId="16" fillId="0" borderId="0" xfId="10" applyFont="1" applyAlignment="1">
      <alignment horizontal="center"/>
    </xf>
    <xf numFmtId="44" fontId="15" fillId="2" borderId="0" xfId="10" applyFont="1" applyFill="1" applyAlignment="1">
      <alignment horizontal="center"/>
    </xf>
    <xf numFmtId="44" fontId="6" fillId="3" borderId="0" xfId="10" applyFont="1" applyFill="1" applyAlignment="1">
      <alignment horizontal="center"/>
    </xf>
    <xf numFmtId="44" fontId="6" fillId="2" borderId="1" xfId="10" applyFont="1" applyFill="1" applyBorder="1" applyAlignment="1">
      <alignment horizontal="center"/>
    </xf>
    <xf numFmtId="44" fontId="15" fillId="2" borderId="1" xfId="10" applyFont="1" applyFill="1" applyBorder="1" applyAlignment="1">
      <alignment horizontal="center"/>
    </xf>
    <xf numFmtId="44" fontId="16" fillId="0" borderId="0" xfId="10" applyFont="1" applyFill="1" applyAlignment="1">
      <alignment horizontal="center"/>
    </xf>
    <xf numFmtId="44" fontId="15" fillId="0" borderId="0" xfId="10" applyFont="1" applyFill="1" applyAlignment="1">
      <alignment horizontal="center"/>
    </xf>
    <xf numFmtId="44" fontId="3" fillId="0" borderId="0" xfId="10" applyFont="1" applyAlignment="1">
      <alignment horizontal="center"/>
    </xf>
    <xf numFmtId="44" fontId="17" fillId="0" borderId="0" xfId="10" applyFont="1" applyAlignment="1">
      <alignment horizontal="center"/>
    </xf>
    <xf numFmtId="44" fontId="6" fillId="0" borderId="0" xfId="10" applyFont="1" applyFill="1" applyBorder="1"/>
    <xf numFmtId="9" fontId="6" fillId="0" borderId="0" xfId="18" applyFont="1" applyFill="1" applyBorder="1" applyAlignment="1">
      <alignment horizontal="center"/>
    </xf>
    <xf numFmtId="9" fontId="6" fillId="2" borderId="0" xfId="10" applyNumberFormat="1" applyFont="1" applyFill="1" applyAlignment="1">
      <alignment horizontal="center"/>
    </xf>
    <xf numFmtId="44" fontId="6" fillId="0" borderId="0" xfId="10" applyFont="1" applyFill="1" applyBorder="1" applyAlignment="1">
      <alignment horizontal="center"/>
    </xf>
    <xf numFmtId="44" fontId="6" fillId="2" borderId="0" xfId="10" applyFont="1" applyFill="1" applyAlignment="1"/>
    <xf numFmtId="44" fontId="6" fillId="2" borderId="0" xfId="10" applyFont="1" applyFill="1" applyBorder="1" applyAlignment="1">
      <alignment horizontal="center"/>
    </xf>
    <xf numFmtId="44" fontId="15" fillId="2" borderId="0" xfId="10" applyFont="1" applyFill="1" applyBorder="1" applyAlignment="1">
      <alignment horizontal="center"/>
    </xf>
    <xf numFmtId="44" fontId="3" fillId="0" borderId="9" xfId="10" applyFont="1" applyBorder="1" applyAlignment="1">
      <alignment horizontal="center"/>
    </xf>
    <xf numFmtId="44" fontId="17" fillId="0" borderId="10" xfId="10" applyFont="1" applyBorder="1" applyAlignment="1">
      <alignment horizontal="center"/>
    </xf>
    <xf numFmtId="44" fontId="6" fillId="0" borderId="0" xfId="10" applyFont="1" applyAlignment="1">
      <alignment horizontal="right"/>
    </xf>
    <xf numFmtId="44" fontId="3" fillId="2" borderId="0" xfId="10" applyFont="1" applyFill="1" applyAlignment="1">
      <alignment horizontal="center"/>
    </xf>
    <xf numFmtId="44" fontId="3" fillId="0" borderId="11" xfId="10" applyFont="1" applyBorder="1" applyAlignment="1">
      <alignment horizontal="center"/>
    </xf>
    <xf numFmtId="164" fontId="7" fillId="0" borderId="8" xfId="18" applyNumberFormat="1" applyFont="1" applyBorder="1" applyAlignment="1"/>
    <xf numFmtId="165" fontId="7" fillId="0" borderId="8" xfId="10" applyNumberFormat="1" applyFont="1" applyBorder="1" applyAlignment="1"/>
    <xf numFmtId="164" fontId="6" fillId="0" borderId="0" xfId="19" applyNumberFormat="1" applyFont="1"/>
    <xf numFmtId="164" fontId="7" fillId="0" borderId="0" xfId="18" applyNumberFormat="1" applyFont="1" applyBorder="1" applyAlignment="1"/>
    <xf numFmtId="165" fontId="7" fillId="0" borderId="0" xfId="10" applyNumberFormat="1" applyFont="1" applyBorder="1" applyAlignment="1"/>
    <xf numFmtId="9" fontId="7" fillId="0" borderId="0" xfId="18" applyFont="1" applyBorder="1" applyAlignment="1"/>
    <xf numFmtId="44" fontId="5" fillId="0" borderId="8" xfId="10" applyFont="1" applyBorder="1" applyAlignment="1">
      <alignment horizontal="center"/>
    </xf>
    <xf numFmtId="9" fontId="6" fillId="0" borderId="0" xfId="18" applyFont="1" applyBorder="1"/>
    <xf numFmtId="44" fontId="6" fillId="0" borderId="10" xfId="10" applyFont="1" applyBorder="1" applyAlignment="1">
      <alignment horizontal="center"/>
    </xf>
    <xf numFmtId="9" fontId="6" fillId="0" borderId="1" xfId="18" applyFont="1" applyBorder="1"/>
    <xf numFmtId="9" fontId="6" fillId="0" borderId="0" xfId="18" applyFont="1"/>
    <xf numFmtId="8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 applyAlignment="1">
      <alignment horizontal="center" wrapText="1"/>
    </xf>
  </cellXfs>
  <cellStyles count="20">
    <cellStyle name="Comma" xfId="1" builtinId="3"/>
    <cellStyle name="Comma 2" xfId="2" xr:uid="{092D437D-9DC2-4968-A215-C91241948860}"/>
    <cellStyle name="Comma 3" xfId="3" xr:uid="{8181A7B4-28F7-4B79-A4C7-3A40684E59F0}"/>
    <cellStyle name="Comma 4" xfId="4" xr:uid="{DEA4FC9E-6E63-49DA-B813-42980BB3087C}"/>
    <cellStyle name="Comma 4 2" xfId="5" xr:uid="{271B3F28-FF77-4C40-8B69-7E9D7051261A}"/>
    <cellStyle name="Currency" xfId="6" builtinId="4"/>
    <cellStyle name="Currency 2" xfId="7" xr:uid="{9212DAC2-387A-4C69-838E-BFBB78A10F59}"/>
    <cellStyle name="Currency 3" xfId="8" xr:uid="{FDF39363-FE6D-4587-BFEF-732AA8F007D4}"/>
    <cellStyle name="Currency 4" xfId="9" xr:uid="{F1B68A00-9612-4693-9C7A-9135792C9947}"/>
    <cellStyle name="Currency 4 2" xfId="10" xr:uid="{06D6D44C-050B-45F2-B92A-FDEDD05F7188}"/>
    <cellStyle name="Hyperlink" xfId="11" builtinId="8"/>
    <cellStyle name="Normal" xfId="0" builtinId="0"/>
    <cellStyle name="Normal 2" xfId="12" xr:uid="{DD3AA235-C2CF-48D4-96EC-6145341E3C4C}"/>
    <cellStyle name="Normal 3" xfId="13" xr:uid="{7225DA20-3BFE-4AED-B21B-42B55F20B1F0}"/>
    <cellStyle name="Percent" xfId="14" builtinId="5"/>
    <cellStyle name="Percent 2" xfId="15" xr:uid="{B6605C60-ED53-49EF-A3D5-3FEA02953587}"/>
    <cellStyle name="Percent 3" xfId="16" xr:uid="{9EF7A30E-C09B-46DA-9F33-13385B1E8DD1}"/>
    <cellStyle name="Percent 4" xfId="17" xr:uid="{724A47BD-6AE7-4778-9A75-76DCDAE4948C}"/>
    <cellStyle name="Percent 4 2" xfId="18" xr:uid="{7BAA56FC-0622-437A-8994-4834844CD280}"/>
    <cellStyle name="Percent 5" xfId="19" xr:uid="{C4D463B5-7253-4A7F-9A47-ED375D1C093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Power Usage by Month</a:t>
            </a:r>
          </a:p>
        </c:rich>
      </c:tx>
      <c:layout>
        <c:manualLayout>
          <c:xMode val="edge"/>
          <c:yMode val="edge"/>
          <c:x val="0.37375410491271005"/>
          <c:y val="3.9393939393939391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112956810631229"/>
          <c:y val="0.26666745581041612"/>
          <c:w val="0.74086378737541525"/>
          <c:h val="0.484849919655302"/>
        </c:manualLayout>
      </c:layout>
      <c:barChart>
        <c:barDir val="col"/>
        <c:grouping val="clustered"/>
        <c:varyColors val="0"/>
        <c:ser>
          <c:idx val="0"/>
          <c:order val="0"/>
          <c:tx>
            <c:v>Estimated</c:v>
          </c:tx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'Energy Usage'!$C$6:$C$17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'Energy Usage'!$I$6:$I$17</c:f>
              <c:numCache>
                <c:formatCode>General</c:formatCode>
                <c:ptCount val="12"/>
                <c:pt idx="0">
                  <c:v>1400</c:v>
                </c:pt>
                <c:pt idx="1">
                  <c:v>1266.6666666666665</c:v>
                </c:pt>
                <c:pt idx="2">
                  <c:v>1133.3333333333333</c:v>
                </c:pt>
                <c:pt idx="3">
                  <c:v>1066.6666666666667</c:v>
                </c:pt>
                <c:pt idx="4">
                  <c:v>1200</c:v>
                </c:pt>
                <c:pt idx="5">
                  <c:v>1466.6666666666667</c:v>
                </c:pt>
                <c:pt idx="6">
                  <c:v>1666.6666666666665</c:v>
                </c:pt>
                <c:pt idx="7">
                  <c:v>1733.3333333333333</c:v>
                </c:pt>
                <c:pt idx="8">
                  <c:v>1466.6666666666667</c:v>
                </c:pt>
                <c:pt idx="9">
                  <c:v>1066.6666666666667</c:v>
                </c:pt>
                <c:pt idx="10">
                  <c:v>1200</c:v>
                </c:pt>
                <c:pt idx="11">
                  <c:v>1333.3333333333333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C1-419E-A7E8-8E4FA97D1CB1}"/>
            </c:ext>
          </c:extLst>
        </c:ser>
        <c:ser>
          <c:idx val="1"/>
          <c:order val="1"/>
          <c:tx>
            <c:v>Actual</c:v>
          </c:tx>
          <c:spPr>
            <a:solidFill>
              <a:srgbClr val="99336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'Energy Usage'!$C$6:$C$17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'Energy Usage'!$F$6:$F$17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C1-419E-A7E8-8E4FA97D1CB1}"/>
            </c:ext>
          </c:extLst>
        </c:ser>
        <c:ser>
          <c:idx val="2"/>
          <c:order val="2"/>
          <c:tx>
            <c:v>Solar</c:v>
          </c:tx>
          <c:spPr>
            <a:solidFill>
              <a:srgbClr val="FFFFCC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'Energy Usage'!$H$6:$H$17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C1-419E-A7E8-8E4FA97D1C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5414015"/>
        <c:axId val="1"/>
      </c:barChart>
      <c:catAx>
        <c:axId val="4154140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kWhr</a:t>
                </a:r>
              </a:p>
            </c:rich>
          </c:tx>
          <c:layout>
            <c:manualLayout>
              <c:xMode val="edge"/>
              <c:yMode val="edge"/>
              <c:x val="6.9767323040663867E-2"/>
              <c:y val="0.4606073331742623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14015"/>
        <c:crosses val="autoZero"/>
        <c:crossBetween val="between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30614912892193547"/>
          <c:y val="0.12256167491357456"/>
          <c:w val="0.29016881724743881"/>
          <c:h val="0.10479911333189708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44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Solar Energy Balance</a:t>
            </a:r>
          </a:p>
        </c:rich>
      </c:tx>
      <c:layout>
        <c:manualLayout>
          <c:xMode val="edge"/>
          <c:yMode val="edge"/>
          <c:x val="0.35021163493803781"/>
          <c:y val="3.324099722991689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291166623744527"/>
          <c:y val="0.17451547150313731"/>
          <c:w val="0.83755446819469481"/>
          <c:h val="0.75623370984692839"/>
        </c:manualLayout>
      </c:layout>
      <c:areaChart>
        <c:grouping val="stacked"/>
        <c:varyColors val="0"/>
        <c:ser>
          <c:idx val="1"/>
          <c:order val="0"/>
          <c:tx>
            <c:v>Energy Balance</c:v>
          </c:tx>
          <c:spPr>
            <a:solidFill>
              <a:srgbClr val="993366"/>
            </a:solidFill>
            <a:ln w="12700">
              <a:solidFill>
                <a:srgbClr val="000000"/>
              </a:solidFill>
              <a:prstDash val="solid"/>
            </a:ln>
          </c:spPr>
          <c:cat>
            <c:strRef>
              <c:f>'Energy Usage'!$C$6:$C$17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'Energy Usage'!$K$6:$K$17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3E-41E4-86BB-5F9D8A9F53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6895"/>
        <c:axId val="1"/>
      </c:areaChart>
      <c:catAx>
        <c:axId val="415416895"/>
        <c:scaling>
          <c:orientation val="minMax"/>
        </c:scaling>
        <c:delete val="0"/>
        <c:axPos val="b"/>
        <c:numFmt formatCode="General" sourceLinked="1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1000" b="1" i="0" u="none" strike="noStrike" baseline="0">
                <a:solidFill>
                  <a:srgbClr val="FFFF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  <c:max val="1000"/>
          <c:min val="-1000"/>
        </c:scaling>
        <c:delete val="0"/>
        <c:axPos val="l"/>
        <c:numFmt formatCode="#,##0" sourceLinked="1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16895"/>
        <c:crosses val="autoZero"/>
        <c:crossBetween val="between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>
      <c:oddHeader>&amp;A</c:oddHeader>
      <c:oddFooter>Page &amp;P</c:oddFooter>
    </c:headerFooter>
    <c:pageMargins b="1" l="0.75" r="0.75" t="1" header="0.5" footer="0.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25 Year Cash Flow</a:t>
            </a:r>
          </a:p>
        </c:rich>
      </c:tx>
      <c:layout>
        <c:manualLayout>
          <c:xMode val="edge"/>
          <c:yMode val="edge"/>
          <c:x val="0.41339216877366308"/>
          <c:y val="2.6134800550206328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011667593004561"/>
          <c:y val="0.10729030589799818"/>
          <c:w val="0.78166049976758634"/>
          <c:h val="0.85832244718398543"/>
        </c:manualLayout>
      </c:layout>
      <c:scatterChart>
        <c:scatterStyle val="smoothMarker"/>
        <c:varyColors val="0"/>
        <c:ser>
          <c:idx val="0"/>
          <c:order val="0"/>
          <c:tx>
            <c:v>Wtih Solar</c:v>
          </c:tx>
          <c:spPr>
            <a:ln w="25400">
              <a:solidFill>
                <a:srgbClr val="000080"/>
              </a:solidFill>
              <a:prstDash val="solid"/>
            </a:ln>
          </c:spPr>
          <c:marker>
            <c:symbol val="none"/>
          </c:marker>
          <c:xVal>
            <c:strRef>
              <c:f>'Financial Analysis'!$F$18:$F$43</c:f>
              <c:strCache>
                <c:ptCount val="26"/>
                <c:pt idx="0">
                  <c:v>{{YEAR}}</c:v>
                </c:pt>
                <c:pt idx="1">
                  <c:v>#VALUE!</c:v>
                </c:pt>
                <c:pt idx="2">
                  <c:v>#VALUE!</c:v>
                </c:pt>
                <c:pt idx="3">
                  <c:v>#VALUE!</c:v>
                </c:pt>
                <c:pt idx="4">
                  <c:v>#VALUE!</c:v>
                </c:pt>
                <c:pt idx="5">
                  <c:v>#VALUE!</c:v>
                </c:pt>
                <c:pt idx="6">
                  <c:v>#VALUE!</c:v>
                </c:pt>
                <c:pt idx="7">
                  <c:v>#VALUE!</c:v>
                </c:pt>
                <c:pt idx="8">
                  <c:v>#VALUE!</c:v>
                </c:pt>
                <c:pt idx="9">
                  <c:v>#VALUE!</c:v>
                </c:pt>
                <c:pt idx="10">
                  <c:v>#VALUE!</c:v>
                </c:pt>
                <c:pt idx="11">
                  <c:v>#VALUE!</c:v>
                </c:pt>
                <c:pt idx="12">
                  <c:v>#VALUE!</c:v>
                </c:pt>
                <c:pt idx="13">
                  <c:v>#VALUE!</c:v>
                </c:pt>
                <c:pt idx="14">
                  <c:v>#VALUE!</c:v>
                </c:pt>
                <c:pt idx="15">
                  <c:v>#VALUE!</c:v>
                </c:pt>
                <c:pt idx="16">
                  <c:v>#VALUE!</c:v>
                </c:pt>
                <c:pt idx="17">
                  <c:v>#VALUE!</c:v>
                </c:pt>
                <c:pt idx="18">
                  <c:v>#VALUE!</c:v>
                </c:pt>
                <c:pt idx="19">
                  <c:v>#VALUE!</c:v>
                </c:pt>
                <c:pt idx="20">
                  <c:v>#VALUE!</c:v>
                </c:pt>
                <c:pt idx="21">
                  <c:v>#VALUE!</c:v>
                </c:pt>
                <c:pt idx="22">
                  <c:v>#VALUE!</c:v>
                </c:pt>
                <c:pt idx="23">
                  <c:v>#VALUE!</c:v>
                </c:pt>
                <c:pt idx="24">
                  <c:v>#VALUE!</c:v>
                </c:pt>
                <c:pt idx="25">
                  <c:v>#VALUE!</c:v>
                </c:pt>
              </c:strCache>
            </c:strRef>
          </c:xVal>
          <c:yVal>
            <c:numRef>
              <c:f>'Financial Analysis'!$G$18:$G$43</c:f>
              <c:numCache>
                <c:formatCode>_("$"* #,##0.00_);_("$"* \(#,##0.00\);_("$"*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31-4B79-8372-B25ED7FD9B38}"/>
            </c:ext>
          </c:extLst>
        </c:ser>
        <c:ser>
          <c:idx val="1"/>
          <c:order val="1"/>
          <c:tx>
            <c:v>Without Solar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strRef>
              <c:f>'Financial Analysis'!$F$18:$F$43</c:f>
              <c:strCache>
                <c:ptCount val="26"/>
                <c:pt idx="0">
                  <c:v>{{YEAR}}</c:v>
                </c:pt>
                <c:pt idx="1">
                  <c:v>#VALUE!</c:v>
                </c:pt>
                <c:pt idx="2">
                  <c:v>#VALUE!</c:v>
                </c:pt>
                <c:pt idx="3">
                  <c:v>#VALUE!</c:v>
                </c:pt>
                <c:pt idx="4">
                  <c:v>#VALUE!</c:v>
                </c:pt>
                <c:pt idx="5">
                  <c:v>#VALUE!</c:v>
                </c:pt>
                <c:pt idx="6">
                  <c:v>#VALUE!</c:v>
                </c:pt>
                <c:pt idx="7">
                  <c:v>#VALUE!</c:v>
                </c:pt>
                <c:pt idx="8">
                  <c:v>#VALUE!</c:v>
                </c:pt>
                <c:pt idx="9">
                  <c:v>#VALUE!</c:v>
                </c:pt>
                <c:pt idx="10">
                  <c:v>#VALUE!</c:v>
                </c:pt>
                <c:pt idx="11">
                  <c:v>#VALUE!</c:v>
                </c:pt>
                <c:pt idx="12">
                  <c:v>#VALUE!</c:v>
                </c:pt>
                <c:pt idx="13">
                  <c:v>#VALUE!</c:v>
                </c:pt>
                <c:pt idx="14">
                  <c:v>#VALUE!</c:v>
                </c:pt>
                <c:pt idx="15">
                  <c:v>#VALUE!</c:v>
                </c:pt>
                <c:pt idx="16">
                  <c:v>#VALUE!</c:v>
                </c:pt>
                <c:pt idx="17">
                  <c:v>#VALUE!</c:v>
                </c:pt>
                <c:pt idx="18">
                  <c:v>#VALUE!</c:v>
                </c:pt>
                <c:pt idx="19">
                  <c:v>#VALUE!</c:v>
                </c:pt>
                <c:pt idx="20">
                  <c:v>#VALUE!</c:v>
                </c:pt>
                <c:pt idx="21">
                  <c:v>#VALUE!</c:v>
                </c:pt>
                <c:pt idx="22">
                  <c:v>#VALUE!</c:v>
                </c:pt>
                <c:pt idx="23">
                  <c:v>#VALUE!</c:v>
                </c:pt>
                <c:pt idx="24">
                  <c:v>#VALUE!</c:v>
                </c:pt>
                <c:pt idx="25">
                  <c:v>#VALUE!</c:v>
                </c:pt>
              </c:strCache>
            </c:strRef>
          </c:xVal>
          <c:yVal>
            <c:numRef>
              <c:f>'Financial Analysis'!$I$18:$I$43</c:f>
              <c:numCache>
                <c:formatCode>_("$"* #,##0.00_);_("$"* \(#,##0.00\);_("$"* "-"??_);_(@_)</c:formatCode>
                <c:ptCount val="26"/>
                <c:pt idx="0">
                  <c:v>-4160</c:v>
                </c:pt>
                <c:pt idx="1">
                  <c:v>-8403.2000000000007</c:v>
                </c:pt>
                <c:pt idx="2">
                  <c:v>-12731.264000000001</c:v>
                </c:pt>
                <c:pt idx="3">
                  <c:v>-17145.889280000003</c:v>
                </c:pt>
                <c:pt idx="4">
                  <c:v>-21648.807065600005</c:v>
                </c:pt>
                <c:pt idx="5">
                  <c:v>-26241.783206912005</c:v>
                </c:pt>
                <c:pt idx="6">
                  <c:v>-30926.618871050247</c:v>
                </c:pt>
                <c:pt idx="7">
                  <c:v>-35705.151248471251</c:v>
                </c:pt>
                <c:pt idx="8">
                  <c:v>-40579.254273440674</c:v>
                </c:pt>
                <c:pt idx="9">
                  <c:v>-45550.839358909492</c:v>
                </c:pt>
                <c:pt idx="10">
                  <c:v>-50621.856146087681</c:v>
                </c:pt>
                <c:pt idx="11">
                  <c:v>-55794.293269009431</c:v>
                </c:pt>
                <c:pt idx="12">
                  <c:v>-61070.179134389618</c:v>
                </c:pt>
                <c:pt idx="13">
                  <c:v>-66451.582717077414</c:v>
                </c:pt>
                <c:pt idx="14">
                  <c:v>-71940.614371418967</c:v>
                </c:pt>
                <c:pt idx="15">
                  <c:v>-77539.42665884734</c:v>
                </c:pt>
                <c:pt idx="16">
                  <c:v>-83250.21519202429</c:v>
                </c:pt>
                <c:pt idx="17">
                  <c:v>-89075.219495864774</c:v>
                </c:pt>
                <c:pt idx="18">
                  <c:v>-95016.723885782063</c:v>
                </c:pt>
                <c:pt idx="19">
                  <c:v>-101077.05836349771</c:v>
                </c:pt>
                <c:pt idx="20">
                  <c:v>-107258.59953076766</c:v>
                </c:pt>
                <c:pt idx="21">
                  <c:v>-113563.77152138302</c:v>
                </c:pt>
                <c:pt idx="22">
                  <c:v>-119995.04695181068</c:v>
                </c:pt>
                <c:pt idx="23">
                  <c:v>-126554.9478908469</c:v>
                </c:pt>
                <c:pt idx="24">
                  <c:v>-133246.04684866383</c:v>
                </c:pt>
                <c:pt idx="25">
                  <c:v>-140070.9677856371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F31-4B79-8372-B25ED7FD9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9295"/>
        <c:axId val="1"/>
      </c:scatterChart>
      <c:valAx>
        <c:axId val="415419295"/>
        <c:scaling>
          <c:orientation val="minMax"/>
          <c:max val="2035"/>
          <c:min val="2010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_(&quot;$&quot;* #,##0.00_);_(&quot;$&quot;* \(#,##0.00\);_(&quot;$&quot;* &quot;-&quot;??_);_(@_)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19295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14829648332429857"/>
          <c:y val="5.8825435767410665E-2"/>
          <c:w val="0.37112941900007701"/>
          <c:h val="5.5602124218511448E-2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36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8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397328</xdr:colOff>
      <xdr:row>2</xdr:row>
      <xdr:rowOff>21772</xdr:rowOff>
    </xdr:from>
    <xdr:to>
      <xdr:col>21</xdr:col>
      <xdr:colOff>702128</xdr:colOff>
      <xdr:row>21</xdr:row>
      <xdr:rowOff>87086</xdr:rowOff>
    </xdr:to>
    <xdr:graphicFrame macro="">
      <xdr:nvGraphicFramePr>
        <xdr:cNvPr id="1607772" name="Chart 1">
          <a:extLst>
            <a:ext uri="{FF2B5EF4-FFF2-40B4-BE49-F238E27FC236}">
              <a16:creationId xmlns:a16="http://schemas.microsoft.com/office/drawing/2014/main" id="{C5A3C8AD-FAC4-5DA2-A087-21F30A02BF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244929</xdr:colOff>
      <xdr:row>29</xdr:row>
      <xdr:rowOff>16329</xdr:rowOff>
    </xdr:from>
    <xdr:to>
      <xdr:col>7</xdr:col>
      <xdr:colOff>397329</xdr:colOff>
      <xdr:row>48</xdr:row>
      <xdr:rowOff>5443</xdr:rowOff>
    </xdr:to>
    <xdr:graphicFrame macro="">
      <xdr:nvGraphicFramePr>
        <xdr:cNvPr id="1607773" name="Chart 3">
          <a:extLst>
            <a:ext uri="{FF2B5EF4-FFF2-40B4-BE49-F238E27FC236}">
              <a16:creationId xmlns:a16="http://schemas.microsoft.com/office/drawing/2014/main" id="{A795D7A1-3278-45D5-60DA-774EDD45EE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604157</xdr:colOff>
      <xdr:row>4</xdr:row>
      <xdr:rowOff>16329</xdr:rowOff>
    </xdr:from>
    <xdr:to>
      <xdr:col>21</xdr:col>
      <xdr:colOff>429986</xdr:colOff>
      <xdr:row>46</xdr:row>
      <xdr:rowOff>141514</xdr:rowOff>
    </xdr:to>
    <xdr:graphicFrame macro="">
      <xdr:nvGraphicFramePr>
        <xdr:cNvPr id="2612" name="Chart 7">
          <a:extLst>
            <a:ext uri="{FF2B5EF4-FFF2-40B4-BE49-F238E27FC236}">
              <a16:creationId xmlns:a16="http://schemas.microsoft.com/office/drawing/2014/main" id="{54A18BFE-02DC-CED6-15D7-6A7D54AE40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3981F-589D-499F-ADA7-DB3FA70F08A9}">
  <dimension ref="A1:C23"/>
  <sheetViews>
    <sheetView workbookViewId="0">
      <selection activeCell="C10" sqref="C10"/>
    </sheetView>
  </sheetViews>
  <sheetFormatPr defaultRowHeight="12.45"/>
  <cols>
    <col min="1" max="1" width="10.15234375" bestFit="1" customWidth="1"/>
    <col min="2" max="2" width="31.3046875" bestFit="1" customWidth="1"/>
  </cols>
  <sheetData>
    <row r="1" spans="1:3">
      <c r="A1" s="23" t="s">
        <v>153</v>
      </c>
      <c r="B1" s="5" t="s">
        <v>192</v>
      </c>
    </row>
    <row r="2" spans="1:3">
      <c r="A2" s="23" t="s">
        <v>147</v>
      </c>
      <c r="B2" s="5" t="s">
        <v>193</v>
      </c>
    </row>
    <row r="3" spans="1:3">
      <c r="A3" s="23" t="s">
        <v>148</v>
      </c>
      <c r="B3" s="5" t="s">
        <v>194</v>
      </c>
    </row>
    <row r="4" spans="1:3">
      <c r="A4" s="23" t="s">
        <v>149</v>
      </c>
      <c r="B4" s="5" t="s">
        <v>195</v>
      </c>
    </row>
    <row r="5" spans="1:3">
      <c r="A5" s="23" t="s">
        <v>150</v>
      </c>
      <c r="B5" s="76" t="s">
        <v>196</v>
      </c>
    </row>
    <row r="6" spans="1:3" ht="15.9">
      <c r="A6" s="23" t="s">
        <v>151</v>
      </c>
      <c r="B6" s="93"/>
      <c r="C6" s="5"/>
    </row>
    <row r="7" spans="1:3" ht="15.9">
      <c r="A7" s="23" t="s">
        <v>152</v>
      </c>
      <c r="B7" s="93"/>
      <c r="C7" s="5"/>
    </row>
    <row r="8" spans="1:3">
      <c r="A8" s="23" t="s">
        <v>164</v>
      </c>
      <c r="B8" s="90" t="s">
        <v>197</v>
      </c>
    </row>
    <row r="9" spans="1:3">
      <c r="A9" s="23" t="s">
        <v>163</v>
      </c>
      <c r="B9" s="90"/>
    </row>
    <row r="10" spans="1:3">
      <c r="A10" s="23" t="s">
        <v>156</v>
      </c>
      <c r="B10" s="82"/>
      <c r="C10" s="5" t="s">
        <v>73</v>
      </c>
    </row>
    <row r="11" spans="1:3">
      <c r="A11" s="23" t="s">
        <v>159</v>
      </c>
      <c r="B11" s="82"/>
    </row>
    <row r="14" spans="1:3">
      <c r="B14" s="90"/>
    </row>
    <row r="15" spans="1:3" ht="12.9">
      <c r="B15" s="88"/>
    </row>
    <row r="16" spans="1:3" ht="12.9">
      <c r="B16" s="89"/>
    </row>
    <row r="17" spans="2:2">
      <c r="B17" s="83"/>
    </row>
    <row r="18" spans="2:2">
      <c r="B18" s="83"/>
    </row>
    <row r="19" spans="2:2" ht="17.600000000000001">
      <c r="B19" s="84"/>
    </row>
    <row r="20" spans="2:2" ht="17.600000000000001">
      <c r="B20" s="84"/>
    </row>
    <row r="21" spans="2:2" ht="15">
      <c r="B21" s="85"/>
    </row>
    <row r="22" spans="2:2" ht="15">
      <c r="B22" s="85"/>
    </row>
    <row r="23" spans="2:2" ht="15.45">
      <c r="B23" s="86"/>
    </row>
  </sheetData>
  <phoneticPr fontId="2" type="noConversion"/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17BFE-7259-4336-A083-7AFC1C274C1C}">
  <sheetPr>
    <pageSetUpPr fitToPage="1"/>
  </sheetPr>
  <dimension ref="A1:O125"/>
  <sheetViews>
    <sheetView tabSelected="1" topLeftCell="A75" workbookViewId="0">
      <selection activeCell="B2" sqref="B2"/>
    </sheetView>
  </sheetViews>
  <sheetFormatPr defaultColWidth="9.15234375" defaultRowHeight="12.45"/>
  <cols>
    <col min="1" max="1" width="34" style="5" customWidth="1"/>
    <col min="2" max="2" width="15.3046875" style="6" customWidth="1"/>
    <col min="3" max="3" width="14.53515625" style="113" customWidth="1"/>
    <col min="4" max="4" width="13.3046875" style="113" customWidth="1"/>
    <col min="5" max="5" width="11.3046875" style="113" bestFit="1" customWidth="1"/>
    <col min="6" max="6" width="6" style="5" customWidth="1"/>
    <col min="7" max="7" width="8.69140625" style="5" customWidth="1"/>
    <col min="8" max="8" width="11.15234375" style="5" customWidth="1"/>
    <col min="9" max="10" width="11.3046875" style="5" customWidth="1"/>
    <col min="11" max="11" width="12" style="5" customWidth="1"/>
    <col min="12" max="12" width="11.84375" style="5" customWidth="1"/>
    <col min="13" max="13" width="11.3046875" style="5" customWidth="1"/>
    <col min="14" max="15" width="11.15234375" style="5" customWidth="1"/>
    <col min="16" max="16384" width="9.15234375" style="5"/>
  </cols>
  <sheetData>
    <row r="1" spans="1:14">
      <c r="A1" s="3" t="str">
        <f>'Customer Info'!B1</f>
        <v>{{JOB_NAME}}</v>
      </c>
    </row>
    <row r="2" spans="1:14">
      <c r="A2" s="5" t="s">
        <v>140</v>
      </c>
      <c r="B2" s="9">
        <v>200</v>
      </c>
    </row>
    <row r="3" spans="1:14">
      <c r="A3" s="5" t="s">
        <v>141</v>
      </c>
      <c r="B3" s="9">
        <v>150</v>
      </c>
      <c r="C3" s="114" t="s">
        <v>184</v>
      </c>
      <c r="D3" s="114" t="s">
        <v>189</v>
      </c>
    </row>
    <row r="4" spans="1:14">
      <c r="A4" s="5" t="s">
        <v>142</v>
      </c>
      <c r="B4" s="6">
        <f>(B2*0.2+(B2-B3))</f>
        <v>90</v>
      </c>
    </row>
    <row r="5" spans="1:14">
      <c r="A5" s="5" t="s">
        <v>145</v>
      </c>
      <c r="B5" s="6">
        <f>0.8*(B2*0.2+(B2-B3))</f>
        <v>72</v>
      </c>
    </row>
    <row r="6" spans="1:14">
      <c r="A6" s="5" t="s">
        <v>143</v>
      </c>
      <c r="B6" s="115">
        <f>B5*240*1.1</f>
        <v>19008</v>
      </c>
    </row>
    <row r="7" spans="1:14" ht="12.9">
      <c r="A7" s="5" t="s">
        <v>144</v>
      </c>
      <c r="B7" s="115">
        <f>B6/B17</f>
        <v>24685.714285714286</v>
      </c>
      <c r="C7" s="116">
        <f>B7/B14</f>
        <v>56.748768472906406</v>
      </c>
      <c r="D7" s="117" t="s">
        <v>146</v>
      </c>
    </row>
    <row r="9" spans="1:14" ht="15">
      <c r="A9" s="3"/>
      <c r="C9" s="118" t="s">
        <v>16</v>
      </c>
      <c r="D9" s="118" t="s">
        <v>130</v>
      </c>
      <c r="E9" s="118" t="s">
        <v>139</v>
      </c>
      <c r="G9" s="87" t="s">
        <v>161</v>
      </c>
      <c r="H9" s="87" t="s">
        <v>182</v>
      </c>
      <c r="I9" s="4" t="s">
        <v>131</v>
      </c>
      <c r="L9" s="4"/>
    </row>
    <row r="10" spans="1:14" ht="12.9">
      <c r="A10" s="1" t="s">
        <v>15</v>
      </c>
      <c r="B10" s="2" t="s">
        <v>190</v>
      </c>
      <c r="C10" s="119">
        <f>D10*E10</f>
        <v>30</v>
      </c>
      <c r="D10" s="120">
        <v>30</v>
      </c>
      <c r="E10" s="121">
        <v>1</v>
      </c>
      <c r="G10" s="122">
        <v>0.45</v>
      </c>
      <c r="I10" s="5" t="s">
        <v>132</v>
      </c>
      <c r="J10" s="123">
        <v>40</v>
      </c>
      <c r="L10" s="18"/>
      <c r="M10" s="18"/>
      <c r="N10" s="18"/>
    </row>
    <row r="11" spans="1:14">
      <c r="A11" s="1" t="s">
        <v>18</v>
      </c>
      <c r="B11" s="2" t="s">
        <v>191</v>
      </c>
      <c r="C11" s="120">
        <f>C10</f>
        <v>30</v>
      </c>
      <c r="D11" s="113" t="s">
        <v>160</v>
      </c>
      <c r="G11" s="124">
        <f>169+18</f>
        <v>187</v>
      </c>
      <c r="H11" s="125">
        <f>G11/B18</f>
        <v>1.4329501915708812E-2</v>
      </c>
      <c r="I11" s="5" t="s">
        <v>133</v>
      </c>
      <c r="J11" s="123">
        <v>30</v>
      </c>
      <c r="L11" s="6"/>
      <c r="M11" s="6"/>
      <c r="N11" s="74"/>
    </row>
    <row r="12" spans="1:14">
      <c r="A12" s="1" t="s">
        <v>162</v>
      </c>
      <c r="B12" s="2"/>
      <c r="C12" s="119"/>
      <c r="G12" s="124">
        <f>65*C10+1450</f>
        <v>3400</v>
      </c>
      <c r="H12" s="125">
        <f>G12/B18</f>
        <v>0.26053639846743293</v>
      </c>
      <c r="I12" s="5" t="s">
        <v>134</v>
      </c>
      <c r="J12" s="123">
        <v>80</v>
      </c>
      <c r="L12" s="6"/>
      <c r="M12" s="6"/>
      <c r="N12" s="74"/>
    </row>
    <row r="13" spans="1:14">
      <c r="A13" s="3"/>
      <c r="C13" s="126"/>
      <c r="I13" s="5" t="s">
        <v>135</v>
      </c>
      <c r="J13" s="123">
        <v>50</v>
      </c>
      <c r="L13" s="6"/>
      <c r="M13" s="6"/>
      <c r="N13" s="74"/>
    </row>
    <row r="14" spans="1:14">
      <c r="A14" s="5" t="s">
        <v>22</v>
      </c>
      <c r="B14" s="9">
        <v>435</v>
      </c>
      <c r="I14" s="5" t="s">
        <v>136</v>
      </c>
      <c r="J14" s="123">
        <v>125</v>
      </c>
      <c r="L14" s="6"/>
      <c r="M14" s="6"/>
      <c r="N14" s="74"/>
    </row>
    <row r="15" spans="1:14">
      <c r="A15" s="5" t="s">
        <v>17</v>
      </c>
      <c r="B15" s="9">
        <f>B14*0.93</f>
        <v>404.55</v>
      </c>
      <c r="C15" s="113" t="s">
        <v>185</v>
      </c>
      <c r="E15" s="127"/>
      <c r="I15" s="5" t="s">
        <v>137</v>
      </c>
      <c r="J15" s="123">
        <v>75</v>
      </c>
      <c r="L15" s="6"/>
      <c r="M15" s="6"/>
      <c r="N15" s="74"/>
    </row>
    <row r="16" spans="1:14">
      <c r="A16" s="5" t="s">
        <v>21</v>
      </c>
      <c r="B16" s="128">
        <v>0.97</v>
      </c>
      <c r="C16" s="129"/>
      <c r="D16" s="129"/>
      <c r="L16" s="6"/>
      <c r="M16" s="6"/>
      <c r="N16" s="74"/>
    </row>
    <row r="17" spans="1:15">
      <c r="A17" s="5" t="s">
        <v>100</v>
      </c>
      <c r="B17" s="128">
        <v>0.77</v>
      </c>
      <c r="L17" s="6"/>
      <c r="M17" s="6"/>
      <c r="N17" s="74"/>
    </row>
    <row r="18" spans="1:15">
      <c r="A18" s="5" t="s">
        <v>13</v>
      </c>
      <c r="B18" s="10">
        <f>B14*C10</f>
        <v>13050</v>
      </c>
      <c r="L18" s="6"/>
      <c r="M18" s="6"/>
      <c r="N18" s="74"/>
    </row>
    <row r="19" spans="1:15">
      <c r="A19" s="5" t="s">
        <v>14</v>
      </c>
      <c r="B19" s="10">
        <f>IF(B15*C10*B16&lt;B6, B15*C10*B16, "OVERCURRENT")</f>
        <v>11772.404999999999</v>
      </c>
      <c r="K19" s="4"/>
      <c r="L19" s="6"/>
      <c r="M19" s="6"/>
      <c r="N19" s="74"/>
    </row>
    <row r="20" spans="1:15">
      <c r="A20" s="5" t="s">
        <v>55</v>
      </c>
      <c r="B20" s="10">
        <f>B18*B17</f>
        <v>10048.5</v>
      </c>
      <c r="K20" s="4"/>
      <c r="M20" s="4"/>
    </row>
    <row r="21" spans="1:15">
      <c r="A21" s="5" t="s">
        <v>101</v>
      </c>
      <c r="B21" s="102">
        <f>B20*5.5*365/1000</f>
        <v>20172.36375</v>
      </c>
      <c r="C21" s="113" t="s">
        <v>108</v>
      </c>
      <c r="K21" s="4"/>
      <c r="L21" s="4"/>
    </row>
    <row r="22" spans="1:15" ht="12.9">
      <c r="L22" s="18"/>
      <c r="M22" s="18"/>
      <c r="N22" s="18"/>
      <c r="O22" s="18"/>
    </row>
    <row r="23" spans="1:15">
      <c r="A23" s="16" t="s">
        <v>52</v>
      </c>
      <c r="L23" s="6"/>
      <c r="M23" s="10"/>
      <c r="N23" s="6"/>
      <c r="O23" s="130"/>
    </row>
    <row r="24" spans="1:15">
      <c r="L24" s="6"/>
      <c r="M24" s="10"/>
      <c r="N24" s="6"/>
      <c r="O24" s="130"/>
    </row>
    <row r="25" spans="1:15">
      <c r="A25" s="4" t="s">
        <v>47</v>
      </c>
      <c r="B25" s="11" t="s">
        <v>48</v>
      </c>
      <c r="C25" s="131" t="s">
        <v>49</v>
      </c>
      <c r="D25" s="131" t="s">
        <v>50</v>
      </c>
      <c r="E25" s="132" t="s">
        <v>105</v>
      </c>
      <c r="G25" s="4" t="s">
        <v>51</v>
      </c>
      <c r="L25" s="6"/>
      <c r="M25" s="10"/>
      <c r="N25" s="6"/>
      <c r="O25" s="130"/>
    </row>
    <row r="26" spans="1:15">
      <c r="A26" s="4"/>
      <c r="B26" s="11"/>
      <c r="C26" s="131"/>
      <c r="D26" s="131"/>
      <c r="E26" s="131"/>
      <c r="G26" s="4"/>
      <c r="L26" s="6"/>
      <c r="M26" s="10"/>
      <c r="N26" s="6"/>
      <c r="O26" s="130"/>
    </row>
    <row r="27" spans="1:15">
      <c r="A27" s="3" t="s">
        <v>43</v>
      </c>
      <c r="B27" s="11"/>
      <c r="C27" s="131"/>
      <c r="D27" s="131"/>
      <c r="E27" s="131"/>
      <c r="G27" s="4"/>
      <c r="L27" s="6"/>
      <c r="M27" s="10"/>
      <c r="N27" s="6"/>
      <c r="O27" s="130"/>
    </row>
    <row r="28" spans="1:15">
      <c r="A28" s="5" t="s">
        <v>44</v>
      </c>
      <c r="B28" s="9">
        <v>1</v>
      </c>
      <c r="C28" s="133">
        <f>((B14*C10*G10)+G11*C11+G12)*1.07875</f>
        <v>16054.496875000001</v>
      </c>
      <c r="D28" s="113">
        <f>B28*C28</f>
        <v>16054.496875000001</v>
      </c>
      <c r="E28" s="134">
        <f>D28/$B$18</f>
        <v>1.2302296455938697</v>
      </c>
      <c r="G28" s="104" t="s">
        <v>102</v>
      </c>
      <c r="H28" s="12"/>
      <c r="I28" s="135"/>
      <c r="K28" s="12"/>
      <c r="L28" s="6"/>
      <c r="M28" s="10"/>
      <c r="N28" s="6"/>
      <c r="O28" s="130"/>
    </row>
    <row r="29" spans="1:15">
      <c r="A29" s="5" t="s">
        <v>71</v>
      </c>
      <c r="B29" s="9">
        <v>0</v>
      </c>
      <c r="C29" s="123">
        <v>24</v>
      </c>
      <c r="D29" s="113">
        <f>B29*C29</f>
        <v>0</v>
      </c>
      <c r="E29" s="134">
        <f>D29/$B$18</f>
        <v>0</v>
      </c>
      <c r="G29" s="104" t="s">
        <v>102</v>
      </c>
      <c r="I29" s="12"/>
      <c r="K29" s="12"/>
      <c r="L29" s="76"/>
      <c r="M29" s="10"/>
      <c r="N29" s="6"/>
      <c r="O29" s="130"/>
    </row>
    <row r="30" spans="1:15">
      <c r="A30" s="5" t="s">
        <v>26</v>
      </c>
      <c r="B30" s="9">
        <f>3*9*1.5+4</f>
        <v>44.5</v>
      </c>
      <c r="C30" s="135">
        <v>45</v>
      </c>
      <c r="D30" s="136">
        <f>B30*C30</f>
        <v>2002.5</v>
      </c>
      <c r="E30" s="137">
        <f>D30/$B$18</f>
        <v>0.15344827586206897</v>
      </c>
      <c r="G30" s="104" t="s">
        <v>1</v>
      </c>
      <c r="I30" s="12"/>
      <c r="J30" s="12"/>
      <c r="L30" s="6"/>
      <c r="M30" s="10"/>
      <c r="N30" s="6"/>
      <c r="O30" s="130"/>
    </row>
    <row r="31" spans="1:15" s="17" customFormat="1" ht="12.9">
      <c r="A31" s="17" t="str">
        <f>"Total " &amp;A27</f>
        <v>Total PV System</v>
      </c>
      <c r="B31" s="18"/>
      <c r="C31" s="138"/>
      <c r="D31" s="139">
        <f>SUM(D28:D30)</f>
        <v>18056.996875000001</v>
      </c>
      <c r="E31" s="140">
        <f>D31/$B$18</f>
        <v>1.3836779214559387</v>
      </c>
      <c r="G31" s="20"/>
      <c r="I31" s="19"/>
      <c r="J31" s="19"/>
      <c r="L31" s="6"/>
      <c r="M31" s="10"/>
      <c r="N31" s="6"/>
      <c r="O31" s="130"/>
    </row>
    <row r="32" spans="1:15">
      <c r="C32" s="135" t="s">
        <v>160</v>
      </c>
      <c r="E32" s="134"/>
      <c r="G32" s="104"/>
      <c r="L32" s="6"/>
      <c r="M32" s="10"/>
      <c r="N32" s="6"/>
      <c r="O32" s="130"/>
    </row>
    <row r="33" spans="1:15">
      <c r="A33" s="3" t="s">
        <v>45</v>
      </c>
      <c r="C33" s="135"/>
      <c r="E33" s="134"/>
      <c r="G33" s="104"/>
      <c r="L33" s="6"/>
      <c r="M33" s="10"/>
      <c r="N33" s="6"/>
      <c r="O33" s="130"/>
    </row>
    <row r="34" spans="1:15">
      <c r="A34" s="5" t="s">
        <v>7</v>
      </c>
      <c r="B34" s="9">
        <v>0</v>
      </c>
      <c r="C34" s="123">
        <f>2.15*1.08375</f>
        <v>2.3300624999999999</v>
      </c>
      <c r="D34" s="113">
        <f>B34*C34</f>
        <v>0</v>
      </c>
      <c r="E34" s="134">
        <f>D34/$B$18</f>
        <v>0</v>
      </c>
      <c r="G34" s="104" t="s">
        <v>102</v>
      </c>
      <c r="L34" s="6"/>
      <c r="M34" s="10"/>
      <c r="N34" s="6"/>
      <c r="O34" s="130"/>
    </row>
    <row r="35" spans="1:15">
      <c r="A35" s="5" t="s">
        <v>25</v>
      </c>
      <c r="B35" s="9">
        <v>0</v>
      </c>
      <c r="C35" s="123">
        <v>130</v>
      </c>
      <c r="D35" s="113">
        <f>B35*C35</f>
        <v>0</v>
      </c>
      <c r="E35" s="134">
        <f>D35/$B$18</f>
        <v>0</v>
      </c>
      <c r="G35" s="104" t="s">
        <v>102</v>
      </c>
      <c r="L35" s="6"/>
      <c r="M35" s="10"/>
      <c r="N35" s="6"/>
      <c r="O35" s="130"/>
    </row>
    <row r="36" spans="1:15">
      <c r="A36" s="5" t="s">
        <v>10</v>
      </c>
      <c r="B36" s="9">
        <v>0</v>
      </c>
      <c r="C36" s="123">
        <v>125</v>
      </c>
      <c r="D36" s="113">
        <f>B36*C36</f>
        <v>0</v>
      </c>
      <c r="E36" s="134">
        <f>D36/$B$18</f>
        <v>0</v>
      </c>
      <c r="G36" s="104" t="s">
        <v>102</v>
      </c>
      <c r="L36" s="6"/>
      <c r="M36" s="10"/>
      <c r="N36" s="6"/>
      <c r="O36" s="130"/>
    </row>
    <row r="37" spans="1:15">
      <c r="A37" s="5" t="s">
        <v>9</v>
      </c>
      <c r="B37" s="9">
        <v>0</v>
      </c>
      <c r="C37" s="135">
        <f>J11</f>
        <v>30</v>
      </c>
      <c r="D37" s="136">
        <f>B37*C37</f>
        <v>0</v>
      </c>
      <c r="E37" s="137">
        <f>D37/$B$18</f>
        <v>0</v>
      </c>
      <c r="G37" s="104" t="s">
        <v>1</v>
      </c>
      <c r="L37" s="6"/>
      <c r="M37" s="10"/>
      <c r="N37" s="6"/>
      <c r="O37" s="130"/>
    </row>
    <row r="38" spans="1:15" s="17" customFormat="1" ht="12.9">
      <c r="A38" s="17" t="str">
        <f>"Total " &amp;A33</f>
        <v>Total Ground Rack</v>
      </c>
      <c r="B38" s="18"/>
      <c r="C38" s="138"/>
      <c r="D38" s="139">
        <f>SUM(D34:D37)</f>
        <v>0</v>
      </c>
      <c r="E38" s="140">
        <f>D38/$B$18</f>
        <v>0</v>
      </c>
      <c r="G38" s="20"/>
      <c r="H38" s="19"/>
      <c r="I38" s="19"/>
      <c r="L38" s="6"/>
      <c r="M38" s="10"/>
      <c r="N38" s="6"/>
      <c r="O38" s="130"/>
    </row>
    <row r="39" spans="1:15">
      <c r="C39" s="135"/>
      <c r="E39" s="134"/>
      <c r="G39" s="104"/>
      <c r="H39" s="12"/>
      <c r="I39" s="12"/>
      <c r="M39" s="6"/>
      <c r="N39" s="6"/>
      <c r="O39" s="130"/>
    </row>
    <row r="40" spans="1:15">
      <c r="A40" s="3" t="s">
        <v>70</v>
      </c>
      <c r="C40" s="135"/>
      <c r="E40" s="134"/>
      <c r="G40" s="104"/>
    </row>
    <row r="41" spans="1:15">
      <c r="A41" s="5" t="s">
        <v>8</v>
      </c>
      <c r="B41" s="9">
        <v>0</v>
      </c>
      <c r="C41" s="123">
        <v>175</v>
      </c>
      <c r="D41" s="113">
        <f>B41*C41</f>
        <v>0</v>
      </c>
      <c r="E41" s="134">
        <f t="shared" ref="E41:E46" si="0">D41/$B$18</f>
        <v>0</v>
      </c>
      <c r="G41" s="104" t="s">
        <v>102</v>
      </c>
    </row>
    <row r="42" spans="1:15">
      <c r="A42" s="5" t="s">
        <v>11</v>
      </c>
      <c r="B42" s="9">
        <v>0</v>
      </c>
      <c r="C42" s="123">
        <v>25</v>
      </c>
      <c r="D42" s="113">
        <f>B42*C42</f>
        <v>0</v>
      </c>
      <c r="E42" s="134">
        <f t="shared" si="0"/>
        <v>0</v>
      </c>
      <c r="G42" s="104" t="s">
        <v>1</v>
      </c>
    </row>
    <row r="43" spans="1:15" ht="12.9">
      <c r="A43" s="5" t="s">
        <v>12</v>
      </c>
      <c r="B43" s="9">
        <v>100</v>
      </c>
      <c r="C43" s="123">
        <v>0.7</v>
      </c>
      <c r="D43" s="113">
        <f>B43*C43</f>
        <v>70</v>
      </c>
      <c r="E43" s="134">
        <f t="shared" si="0"/>
        <v>5.3639846743295016E-3</v>
      </c>
      <c r="G43" s="104" t="s">
        <v>102</v>
      </c>
      <c r="L43" s="17"/>
      <c r="M43" s="17"/>
      <c r="N43" s="17"/>
      <c r="O43" s="17"/>
    </row>
    <row r="44" spans="1:15">
      <c r="A44" s="5" t="s">
        <v>154</v>
      </c>
      <c r="B44" s="73">
        <f>B43*5</f>
        <v>500</v>
      </c>
      <c r="C44" s="123">
        <v>0.4</v>
      </c>
      <c r="D44" s="113">
        <f>B44*C44</f>
        <v>200</v>
      </c>
      <c r="E44" s="134">
        <f t="shared" si="0"/>
        <v>1.532567049808429E-2</v>
      </c>
      <c r="G44" s="104" t="s">
        <v>102</v>
      </c>
    </row>
    <row r="45" spans="1:15">
      <c r="A45" s="5" t="s">
        <v>155</v>
      </c>
      <c r="B45" s="9">
        <v>0</v>
      </c>
      <c r="C45" s="135">
        <v>80</v>
      </c>
      <c r="D45" s="136">
        <f>B45*C45</f>
        <v>0</v>
      </c>
      <c r="E45" s="137">
        <f t="shared" si="0"/>
        <v>0</v>
      </c>
      <c r="G45" s="104" t="s">
        <v>1</v>
      </c>
    </row>
    <row r="46" spans="1:15" s="17" customFormat="1" ht="12.9">
      <c r="A46" s="17" t="str">
        <f>"Total " &amp;A40</f>
        <v>Total Array-to-Inverter Wire Run</v>
      </c>
      <c r="B46" s="18"/>
      <c r="C46" s="138"/>
      <c r="D46" s="139">
        <f>SUM(D41:D45)</f>
        <v>270</v>
      </c>
      <c r="E46" s="140">
        <f t="shared" si="0"/>
        <v>2.0689655172413793E-2</v>
      </c>
      <c r="G46" s="20"/>
      <c r="L46" s="5"/>
      <c r="M46" s="5"/>
      <c r="N46" s="5"/>
      <c r="O46" s="5"/>
    </row>
    <row r="47" spans="1:15">
      <c r="C47" s="135"/>
      <c r="E47" s="134"/>
      <c r="G47" s="104"/>
    </row>
    <row r="48" spans="1:15">
      <c r="A48" s="3" t="s">
        <v>42</v>
      </c>
      <c r="C48" s="135"/>
      <c r="E48" s="134"/>
      <c r="G48" s="104"/>
    </row>
    <row r="49" spans="1:15" ht="12.9">
      <c r="A49" s="5" t="s">
        <v>56</v>
      </c>
      <c r="B49" s="9">
        <v>1</v>
      </c>
      <c r="C49" s="123">
        <v>1600</v>
      </c>
      <c r="D49" s="113">
        <f>B49*C49</f>
        <v>1600</v>
      </c>
      <c r="E49" s="134">
        <f>D49/$B$18</f>
        <v>0.12260536398467432</v>
      </c>
      <c r="G49" s="104" t="s">
        <v>102</v>
      </c>
      <c r="H49" s="5" t="s">
        <v>186</v>
      </c>
      <c r="I49" s="105"/>
      <c r="J49" s="105"/>
      <c r="L49" s="17"/>
      <c r="M49" s="17"/>
      <c r="N49" s="17"/>
      <c r="O49" s="17"/>
    </row>
    <row r="50" spans="1:15">
      <c r="A50" s="5" t="s">
        <v>0</v>
      </c>
      <c r="B50" s="9">
        <v>4</v>
      </c>
      <c r="C50" s="123">
        <v>25</v>
      </c>
      <c r="D50" s="113">
        <f>B50*C50</f>
        <v>100</v>
      </c>
      <c r="E50" s="134">
        <f>D50/$B$18</f>
        <v>7.6628352490421452E-3</v>
      </c>
      <c r="G50" s="104" t="s">
        <v>102</v>
      </c>
    </row>
    <row r="51" spans="1:15">
      <c r="A51" s="5" t="s">
        <v>23</v>
      </c>
      <c r="B51" s="9">
        <v>0</v>
      </c>
      <c r="C51" s="135">
        <v>80</v>
      </c>
      <c r="D51" s="136">
        <f>B51*C51</f>
        <v>0</v>
      </c>
      <c r="E51" s="137">
        <f>D51/$B$18</f>
        <v>0</v>
      </c>
      <c r="G51" s="104" t="s">
        <v>1</v>
      </c>
    </row>
    <row r="52" spans="1:15" s="17" customFormat="1" ht="12.9">
      <c r="A52" s="17" t="str">
        <f>"Total " &amp;A48</f>
        <v>Total Utility Tie-In</v>
      </c>
      <c r="B52" s="18"/>
      <c r="C52" s="138"/>
      <c r="D52" s="139">
        <f>SUM(D49:D51)</f>
        <v>1700</v>
      </c>
      <c r="E52" s="140">
        <f>D52/$B$18</f>
        <v>0.13026819923371646</v>
      </c>
      <c r="G52" s="20"/>
      <c r="L52" s="5"/>
      <c r="M52" s="5"/>
      <c r="N52" s="5"/>
      <c r="O52" s="5"/>
    </row>
    <row r="53" spans="1:15">
      <c r="C53" s="135"/>
      <c r="E53" s="134"/>
      <c r="G53" s="104"/>
    </row>
    <row r="54" spans="1:15">
      <c r="A54" s="3" t="s">
        <v>46</v>
      </c>
      <c r="C54" s="135"/>
      <c r="E54" s="134"/>
      <c r="G54" s="104"/>
    </row>
    <row r="55" spans="1:15">
      <c r="A55" s="5" t="s">
        <v>60</v>
      </c>
      <c r="B55" s="9">
        <v>2</v>
      </c>
      <c r="C55" s="123">
        <v>75</v>
      </c>
      <c r="D55" s="113">
        <f t="shared" ref="D55:D62" si="1">B55*C55</f>
        <v>150</v>
      </c>
      <c r="E55" s="134">
        <f t="shared" ref="E55:E63" si="2">D55/$B$18</f>
        <v>1.1494252873563218E-2</v>
      </c>
      <c r="G55" s="104" t="s">
        <v>1</v>
      </c>
    </row>
    <row r="56" spans="1:15">
      <c r="A56" s="5" t="s">
        <v>19</v>
      </c>
      <c r="B56" s="9">
        <v>1</v>
      </c>
      <c r="C56" s="123">
        <v>550</v>
      </c>
      <c r="D56" s="113">
        <f t="shared" si="1"/>
        <v>550</v>
      </c>
      <c r="E56" s="134">
        <f t="shared" si="2"/>
        <v>4.2145593869731802E-2</v>
      </c>
      <c r="G56" s="104" t="s">
        <v>102</v>
      </c>
    </row>
    <row r="57" spans="1:15">
      <c r="A57" s="5" t="s">
        <v>59</v>
      </c>
      <c r="B57" s="9">
        <v>1</v>
      </c>
      <c r="C57" s="123">
        <v>900</v>
      </c>
      <c r="D57" s="113">
        <f t="shared" si="1"/>
        <v>900</v>
      </c>
      <c r="E57" s="134">
        <f t="shared" si="2"/>
        <v>6.8965517241379309E-2</v>
      </c>
      <c r="G57" s="104" t="s">
        <v>102</v>
      </c>
      <c r="H57" s="5" t="s">
        <v>73</v>
      </c>
    </row>
    <row r="58" spans="1:15">
      <c r="A58" s="5" t="s">
        <v>61</v>
      </c>
      <c r="B58" s="9">
        <v>1</v>
      </c>
      <c r="C58" s="135">
        <v>75</v>
      </c>
      <c r="D58" s="113">
        <f t="shared" si="1"/>
        <v>75</v>
      </c>
      <c r="E58" s="134">
        <f t="shared" si="2"/>
        <v>5.7471264367816091E-3</v>
      </c>
      <c r="G58" s="104" t="s">
        <v>1</v>
      </c>
    </row>
    <row r="59" spans="1:15">
      <c r="A59" s="5" t="s">
        <v>58</v>
      </c>
      <c r="B59" s="9">
        <v>0</v>
      </c>
      <c r="C59" s="135">
        <f>J14</f>
        <v>125</v>
      </c>
      <c r="D59" s="113">
        <f t="shared" si="1"/>
        <v>0</v>
      </c>
      <c r="E59" s="134">
        <f t="shared" si="2"/>
        <v>0</v>
      </c>
      <c r="G59" s="104" t="s">
        <v>102</v>
      </c>
    </row>
    <row r="60" spans="1:15" ht="12.9">
      <c r="A60" s="5" t="s">
        <v>57</v>
      </c>
      <c r="B60" s="9">
        <v>0</v>
      </c>
      <c r="C60" s="135">
        <v>350</v>
      </c>
      <c r="D60" s="113">
        <f t="shared" si="1"/>
        <v>0</v>
      </c>
      <c r="E60" s="134">
        <f t="shared" si="2"/>
        <v>0</v>
      </c>
      <c r="G60" s="104" t="s">
        <v>102</v>
      </c>
      <c r="L60" s="17"/>
      <c r="M60" s="17"/>
      <c r="N60" s="17"/>
      <c r="O60" s="17"/>
    </row>
    <row r="61" spans="1:15">
      <c r="A61" s="5" t="s">
        <v>20</v>
      </c>
      <c r="B61" s="9">
        <v>1</v>
      </c>
      <c r="C61" s="135">
        <v>200</v>
      </c>
      <c r="D61" s="113">
        <f t="shared" si="1"/>
        <v>200</v>
      </c>
      <c r="E61" s="134">
        <f t="shared" si="2"/>
        <v>1.532567049808429E-2</v>
      </c>
      <c r="G61" s="104" t="s">
        <v>102</v>
      </c>
      <c r="H61" s="5" t="s">
        <v>183</v>
      </c>
    </row>
    <row r="62" spans="1:15">
      <c r="A62" s="5" t="s">
        <v>24</v>
      </c>
      <c r="B62" s="9">
        <v>1</v>
      </c>
      <c r="C62" s="135">
        <v>50</v>
      </c>
      <c r="D62" s="136">
        <f t="shared" si="1"/>
        <v>50</v>
      </c>
      <c r="E62" s="137">
        <f t="shared" si="2"/>
        <v>3.8314176245210726E-3</v>
      </c>
      <c r="G62" s="104" t="s">
        <v>1</v>
      </c>
      <c r="H62" s="5" t="s">
        <v>187</v>
      </c>
    </row>
    <row r="63" spans="1:15" s="17" customFormat="1" ht="12.9">
      <c r="A63" s="17" t="str">
        <f>"Total " &amp;A54</f>
        <v>Total Paperwork &amp; Approvals</v>
      </c>
      <c r="B63" s="18"/>
      <c r="C63" s="138"/>
      <c r="D63" s="139">
        <f>SUM(D55:D62)</f>
        <v>1925</v>
      </c>
      <c r="E63" s="140">
        <f t="shared" si="2"/>
        <v>0.1475095785440613</v>
      </c>
      <c r="G63" s="20"/>
      <c r="L63" s="5"/>
      <c r="M63" s="5"/>
      <c r="N63" s="5"/>
      <c r="O63" s="5"/>
    </row>
    <row r="64" spans="1:15">
      <c r="E64" s="134"/>
      <c r="G64" s="104"/>
    </row>
    <row r="65" spans="1:15">
      <c r="A65" s="3" t="s">
        <v>6</v>
      </c>
      <c r="E65" s="134"/>
      <c r="G65" s="104"/>
    </row>
    <row r="66" spans="1:15">
      <c r="A66" s="5" t="s">
        <v>106</v>
      </c>
      <c r="D66" s="123">
        <v>0</v>
      </c>
      <c r="E66" s="141">
        <f t="shared" ref="E66:E71" si="3">D66/$B$18</f>
        <v>0</v>
      </c>
      <c r="G66" s="104" t="s">
        <v>102</v>
      </c>
      <c r="I66" s="111"/>
    </row>
    <row r="67" spans="1:15">
      <c r="A67" s="5" t="s">
        <v>65</v>
      </c>
      <c r="D67" s="142">
        <v>1000</v>
      </c>
      <c r="E67" s="123"/>
      <c r="G67" s="104" t="s">
        <v>102</v>
      </c>
      <c r="O67" s="12"/>
    </row>
    <row r="68" spans="1:15" ht="12.9">
      <c r="A68" s="5" t="s">
        <v>138</v>
      </c>
      <c r="D68" s="123">
        <v>0</v>
      </c>
      <c r="E68" s="141">
        <f t="shared" si="3"/>
        <v>0</v>
      </c>
      <c r="G68" s="104" t="s">
        <v>1</v>
      </c>
      <c r="M68" s="17"/>
      <c r="N68" s="17"/>
      <c r="O68" s="17"/>
    </row>
    <row r="69" spans="1:15">
      <c r="A69" s="5" t="s">
        <v>103</v>
      </c>
      <c r="D69" s="123">
        <v>50</v>
      </c>
      <c r="E69" s="141">
        <f t="shared" si="3"/>
        <v>3.8314176245210726E-3</v>
      </c>
      <c r="G69" s="104" t="s">
        <v>102</v>
      </c>
      <c r="H69" s="5" t="s">
        <v>165</v>
      </c>
      <c r="J69" s="105"/>
    </row>
    <row r="70" spans="1:15">
      <c r="A70" s="5" t="s">
        <v>27</v>
      </c>
      <c r="D70" s="143"/>
      <c r="E70" s="144">
        <f t="shared" si="3"/>
        <v>0</v>
      </c>
      <c r="G70" s="104" t="s">
        <v>1</v>
      </c>
      <c r="J70" s="105"/>
    </row>
    <row r="71" spans="1:15" s="17" customFormat="1" ht="12.9">
      <c r="A71" s="17" t="str">
        <f>"Total " &amp;A65</f>
        <v>Total Miscellaneous</v>
      </c>
      <c r="B71" s="18"/>
      <c r="C71" s="139"/>
      <c r="D71" s="138">
        <f>SUM(D66:D70)</f>
        <v>1050</v>
      </c>
      <c r="E71" s="145">
        <f t="shared" si="3"/>
        <v>8.0459770114942528E-2</v>
      </c>
      <c r="M71" s="1"/>
      <c r="N71" s="1"/>
      <c r="O71" s="1"/>
    </row>
    <row r="72" spans="1:15">
      <c r="D72" s="135"/>
      <c r="E72" s="146"/>
      <c r="M72" s="1"/>
      <c r="N72" s="1"/>
      <c r="O72" s="1"/>
    </row>
    <row r="73" spans="1:15">
      <c r="E73" s="134"/>
      <c r="M73" s="1"/>
      <c r="N73" s="56"/>
      <c r="O73" s="1"/>
    </row>
    <row r="74" spans="1:15" s="1" customFormat="1">
      <c r="A74" s="1" t="s">
        <v>104</v>
      </c>
      <c r="B74" s="2"/>
      <c r="C74" s="147"/>
      <c r="D74" s="147">
        <f>SUM(D28,D29,D34,D35,D36,D41,D43,D44,D49,D50,D56,D57,D59,D60,D61,D66,D67, D69)</f>
        <v>20724.496875000001</v>
      </c>
      <c r="E74" s="148">
        <f>D74/$B$18</f>
        <v>1.5880840517241379</v>
      </c>
      <c r="J74" s="106"/>
      <c r="K74" s="107"/>
      <c r="L74" s="107"/>
      <c r="M74" s="5"/>
      <c r="N74" s="5"/>
      <c r="O74" s="5"/>
    </row>
    <row r="75" spans="1:15" s="1" customFormat="1">
      <c r="A75" s="1" t="s">
        <v>3</v>
      </c>
      <c r="B75" s="2"/>
      <c r="C75" s="147"/>
      <c r="D75" s="147">
        <f>SUM(D30,D37,D42,D45,D51,D55,D58,D62,D68, D70)</f>
        <v>2277.5</v>
      </c>
      <c r="E75" s="148">
        <f>D75/$B$18</f>
        <v>0.17452107279693488</v>
      </c>
      <c r="F75" s="5">
        <f>SUM(B30,B37,B42,B45,B51,B55,B58,B62)</f>
        <v>48.5</v>
      </c>
      <c r="G75" s="5" t="s">
        <v>64</v>
      </c>
      <c r="H75" s="56">
        <f>D75/F75</f>
        <v>46.958762886597938</v>
      </c>
      <c r="J75" s="149"/>
      <c r="K75" s="5"/>
      <c r="L75" s="5"/>
      <c r="M75" s="5"/>
      <c r="N75" s="5"/>
      <c r="O75" s="5"/>
    </row>
    <row r="76" spans="1:15" s="1" customFormat="1">
      <c r="B76" s="2"/>
      <c r="C76" s="147"/>
      <c r="D76" s="147"/>
      <c r="E76" s="148"/>
      <c r="J76" s="149"/>
      <c r="K76" s="5"/>
      <c r="L76" s="150"/>
      <c r="M76" s="5"/>
      <c r="N76" s="5"/>
      <c r="O76" s="5"/>
    </row>
    <row r="77" spans="1:15">
      <c r="A77" s="5" t="s">
        <v>29</v>
      </c>
      <c r="B77" s="7"/>
      <c r="C77" s="151">
        <v>0</v>
      </c>
      <c r="D77" s="113">
        <f>D88*C77</f>
        <v>0</v>
      </c>
      <c r="E77" s="134">
        <f t="shared" ref="E77:E82" si="4">D77/$B$18</f>
        <v>0</v>
      </c>
      <c r="J77" s="149"/>
      <c r="L77" s="152"/>
    </row>
    <row r="78" spans="1:15">
      <c r="A78" s="5" t="s">
        <v>4</v>
      </c>
      <c r="D78" s="123">
        <v>250</v>
      </c>
      <c r="E78" s="141">
        <f t="shared" si="4"/>
        <v>1.9157088122605363E-2</v>
      </c>
      <c r="G78" s="105"/>
      <c r="J78" s="12"/>
      <c r="L78" s="1"/>
    </row>
    <row r="79" spans="1:15">
      <c r="A79" s="5" t="s">
        <v>62</v>
      </c>
      <c r="C79" s="151">
        <v>0</v>
      </c>
      <c r="D79" s="113">
        <f>D98*C79</f>
        <v>0</v>
      </c>
      <c r="E79" s="134">
        <f t="shared" si="4"/>
        <v>0</v>
      </c>
      <c r="J79" s="12"/>
      <c r="L79" s="1"/>
    </row>
    <row r="80" spans="1:15">
      <c r="A80" s="5" t="s">
        <v>63</v>
      </c>
      <c r="C80" s="153">
        <v>0</v>
      </c>
      <c r="D80" s="113">
        <f>C80*B19</f>
        <v>0</v>
      </c>
      <c r="E80" s="134">
        <f t="shared" si="4"/>
        <v>0</v>
      </c>
      <c r="G80" s="12"/>
      <c r="J80" s="12"/>
    </row>
    <row r="81" spans="1:14" ht="12.9" thickBot="1">
      <c r="A81" s="8" t="s">
        <v>5</v>
      </c>
      <c r="D81" s="154">
        <v>1800</v>
      </c>
      <c r="E81" s="155">
        <f t="shared" si="4"/>
        <v>0.13793103448275862</v>
      </c>
      <c r="J81" s="12"/>
    </row>
    <row r="82" spans="1:14" ht="12.9" thickBot="1">
      <c r="A82" s="1" t="str">
        <f>"TOTAL " &amp;A23</f>
        <v>TOTAL JOB COST</v>
      </c>
      <c r="B82" s="2"/>
      <c r="C82" s="147"/>
      <c r="D82" s="156">
        <f>SUM(D74:D81)</f>
        <v>25051.996875000001</v>
      </c>
      <c r="E82" s="157">
        <f t="shared" si="4"/>
        <v>1.9196932471264367</v>
      </c>
      <c r="H82" s="12"/>
      <c r="J82" s="12"/>
      <c r="L82" s="1"/>
    </row>
    <row r="83" spans="1:14">
      <c r="C83" s="158" t="s">
        <v>66</v>
      </c>
      <c r="D83" s="147">
        <f>D82/B18</f>
        <v>1.9196932471264367</v>
      </c>
      <c r="E83" s="147"/>
      <c r="J83" s="56"/>
      <c r="K83" s="1"/>
      <c r="L83" s="1"/>
    </row>
    <row r="84" spans="1:14">
      <c r="C84" s="158" t="s">
        <v>67</v>
      </c>
      <c r="D84" s="113">
        <f>D82/B19</f>
        <v>2.1280271002399256</v>
      </c>
      <c r="J84" s="12"/>
      <c r="L84" s="1"/>
      <c r="M84" s="12"/>
    </row>
    <row r="85" spans="1:14">
      <c r="J85" s="12"/>
      <c r="M85" s="12"/>
    </row>
    <row r="87" spans="1:14" ht="12.9" thickBot="1">
      <c r="A87" s="16" t="s">
        <v>53</v>
      </c>
      <c r="B87" s="11"/>
      <c r="C87" s="11" t="s">
        <v>34</v>
      </c>
      <c r="D87" s="131" t="s">
        <v>35</v>
      </c>
      <c r="J87" s="21"/>
    </row>
    <row r="88" spans="1:14" ht="13.3" thickBot="1">
      <c r="B88" s="13" t="s">
        <v>28</v>
      </c>
      <c r="C88" s="159">
        <f>D88/B18</f>
        <v>2.596168582375479</v>
      </c>
      <c r="D88" s="160">
        <v>33880</v>
      </c>
      <c r="H88" s="37"/>
      <c r="I88" s="161">
        <f>J88/D82</f>
        <v>0.35238720366477766</v>
      </c>
      <c r="J88" s="162">
        <f>D88-D82</f>
        <v>8828.0031249999993</v>
      </c>
      <c r="K88" s="25"/>
      <c r="L88" s="163">
        <f>J88/D88/2</f>
        <v>0.1302833991292798</v>
      </c>
      <c r="M88" s="12">
        <f>D82/(1/0.285)</f>
        <v>7139.8191093750002</v>
      </c>
      <c r="N88" s="111" t="s">
        <v>188</v>
      </c>
    </row>
    <row r="89" spans="1:14">
      <c r="B89" s="13" t="s">
        <v>30</v>
      </c>
      <c r="H89" s="26"/>
      <c r="I89" s="27"/>
      <c r="J89" s="12">
        <f>J88/B19</f>
        <v>0.749889519176413</v>
      </c>
      <c r="K89" s="22" t="s">
        <v>69</v>
      </c>
    </row>
    <row r="90" spans="1:14">
      <c r="B90" s="13"/>
      <c r="H90" s="26"/>
      <c r="I90" s="27"/>
      <c r="J90" s="12">
        <f>J88/B18</f>
        <v>0.67647533524904213</v>
      </c>
      <c r="K90" s="22" t="s">
        <v>66</v>
      </c>
    </row>
    <row r="91" spans="1:14">
      <c r="B91" s="14" t="s">
        <v>41</v>
      </c>
      <c r="H91" s="26"/>
      <c r="I91" s="27"/>
      <c r="J91" s="28"/>
      <c r="K91" s="22"/>
    </row>
    <row r="92" spans="1:14" ht="12.9">
      <c r="B92" s="13" t="s">
        <v>40</v>
      </c>
      <c r="C92" s="159">
        <v>5.45</v>
      </c>
      <c r="D92" s="113">
        <f>C92*B19</f>
        <v>64159.607249999994</v>
      </c>
      <c r="H92" s="38"/>
      <c r="I92" s="164">
        <f>J92/D82</f>
        <v>1.5610576103027711</v>
      </c>
      <c r="J92" s="165">
        <f>D92-D82</f>
        <v>39107.610374999989</v>
      </c>
      <c r="K92" s="22"/>
    </row>
    <row r="93" spans="1:14" ht="12.9">
      <c r="B93" s="13" t="s">
        <v>68</v>
      </c>
      <c r="H93" s="29"/>
      <c r="I93" s="166"/>
      <c r="J93" s="12">
        <f>J92/B19</f>
        <v>3.3219728997600741</v>
      </c>
      <c r="K93" s="22" t="s">
        <v>69</v>
      </c>
    </row>
    <row r="94" spans="1:14">
      <c r="H94" s="30"/>
      <c r="I94" s="8"/>
      <c r="J94" s="31">
        <f>J92/B18</f>
        <v>2.9967517528735623</v>
      </c>
      <c r="K94" s="24" t="s">
        <v>66</v>
      </c>
    </row>
    <row r="95" spans="1:14">
      <c r="A95" s="16" t="s">
        <v>54</v>
      </c>
    </row>
    <row r="96" spans="1:14">
      <c r="A96" s="13"/>
      <c r="H96" s="32"/>
      <c r="I96" s="33" t="s">
        <v>33</v>
      </c>
      <c r="J96" s="167" t="s">
        <v>2</v>
      </c>
      <c r="K96" s="34"/>
      <c r="L96" s="25"/>
    </row>
    <row r="97" spans="1:12">
      <c r="A97" s="13"/>
      <c r="C97" s="151">
        <v>0</v>
      </c>
      <c r="D97" s="113">
        <f>-J99*C97</f>
        <v>0</v>
      </c>
      <c r="H97" s="35" t="s">
        <v>72</v>
      </c>
      <c r="I97" s="154">
        <v>0</v>
      </c>
      <c r="J97" s="152">
        <f>I97*$B$19</f>
        <v>0</v>
      </c>
      <c r="K97" s="168">
        <f>J97/D88</f>
        <v>0</v>
      </c>
      <c r="L97" s="22" t="s">
        <v>38</v>
      </c>
    </row>
    <row r="98" spans="1:12">
      <c r="C98" s="158" t="s">
        <v>39</v>
      </c>
      <c r="D98" s="169">
        <f>D88-D97</f>
        <v>33880</v>
      </c>
      <c r="H98" s="35" t="s">
        <v>73</v>
      </c>
      <c r="I98" s="154"/>
      <c r="J98" s="152">
        <f>I98*$B$19</f>
        <v>0</v>
      </c>
      <c r="K98" s="168">
        <f>J98/D88</f>
        <v>0</v>
      </c>
      <c r="L98" s="22" t="s">
        <v>38</v>
      </c>
    </row>
    <row r="99" spans="1:12">
      <c r="C99" s="6"/>
      <c r="H99" s="36" t="s">
        <v>74</v>
      </c>
      <c r="I99" s="143"/>
      <c r="J99" s="136">
        <f>I99*$B$19</f>
        <v>0</v>
      </c>
      <c r="K99" s="170">
        <f>J99/D88</f>
        <v>0</v>
      </c>
      <c r="L99" s="24" t="s">
        <v>38</v>
      </c>
    </row>
    <row r="100" spans="1:12">
      <c r="A100" s="5" t="s">
        <v>32</v>
      </c>
      <c r="C100" s="15">
        <v>0</v>
      </c>
      <c r="D100" s="113">
        <f>-C100*D98</f>
        <v>0</v>
      </c>
    </row>
    <row r="101" spans="1:12">
      <c r="A101" s="5" t="s">
        <v>31</v>
      </c>
      <c r="C101" s="15">
        <v>0</v>
      </c>
      <c r="D101" s="113">
        <f>-C101*D88</f>
        <v>0</v>
      </c>
    </row>
    <row r="103" spans="1:12" ht="12.9" thickBot="1">
      <c r="C103" s="113" t="s">
        <v>36</v>
      </c>
      <c r="D103" s="113">
        <f>D97+D100+D101</f>
        <v>0</v>
      </c>
    </row>
    <row r="104" spans="1:12" ht="12.9" thickBot="1">
      <c r="C104" s="158" t="s">
        <v>37</v>
      </c>
      <c r="D104" s="160">
        <f>D88+D103</f>
        <v>33880</v>
      </c>
      <c r="I104" s="171"/>
    </row>
    <row r="105" spans="1:12">
      <c r="C105" s="158" t="s">
        <v>66</v>
      </c>
      <c r="D105" s="113">
        <f>D104/B18</f>
        <v>2.596168582375479</v>
      </c>
      <c r="I105" s="171"/>
    </row>
    <row r="106" spans="1:12">
      <c r="C106" s="158" t="s">
        <v>67</v>
      </c>
      <c r="D106" s="113">
        <f>D104/B19</f>
        <v>2.8779166194163386</v>
      </c>
      <c r="I106" s="171"/>
    </row>
    <row r="107" spans="1:12">
      <c r="I107" s="171"/>
    </row>
    <row r="108" spans="1:12">
      <c r="K108" s="171"/>
    </row>
    <row r="109" spans="1:12">
      <c r="C109" s="158"/>
    </row>
    <row r="125" spans="9:9">
      <c r="I125" s="5" t="s">
        <v>107</v>
      </c>
    </row>
  </sheetData>
  <printOptions horizontalCentered="1"/>
  <pageMargins left="0.43" right="0.4" top="0.56999999999999995" bottom="0.5" header="0.5" footer="0.5"/>
  <pageSetup scale="53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A59E6-E70A-4883-848E-CE690CF9E76A}">
  <sheetPr>
    <pageSetUpPr fitToPage="1"/>
  </sheetPr>
  <dimension ref="A1:X75"/>
  <sheetViews>
    <sheetView topLeftCell="A4" workbookViewId="0">
      <selection activeCell="N28" sqref="N28"/>
    </sheetView>
  </sheetViews>
  <sheetFormatPr defaultRowHeight="12.45"/>
  <cols>
    <col min="1" max="1" width="9.53515625" style="54" bestFit="1" customWidth="1"/>
    <col min="3" max="3" width="10" bestFit="1" customWidth="1"/>
    <col min="4" max="4" width="11.3046875" bestFit="1" customWidth="1"/>
    <col min="5" max="5" width="15.3828125" bestFit="1" customWidth="1"/>
    <col min="6" max="6" width="11.3046875" bestFit="1" customWidth="1"/>
    <col min="7" max="7" width="8.3828125" customWidth="1"/>
    <col min="9" max="9" width="16.15234375" customWidth="1"/>
    <col min="11" max="11" width="12.53515625" bestFit="1" customWidth="1"/>
    <col min="13" max="13" width="10.69140625" customWidth="1"/>
    <col min="18" max="18" width="9.69140625" bestFit="1" customWidth="1"/>
    <col min="20" max="23" width="10.3046875" bestFit="1" customWidth="1"/>
  </cols>
  <sheetData>
    <row r="1" spans="1:22">
      <c r="A1" s="3" t="str">
        <f>'Customer Info'!B1</f>
        <v>{{JOB_NAME}}</v>
      </c>
    </row>
    <row r="2" spans="1:22">
      <c r="A2"/>
    </row>
    <row r="3" spans="1:22">
      <c r="A3" s="39" t="s">
        <v>99</v>
      </c>
    </row>
    <row r="4" spans="1:22">
      <c r="A4"/>
      <c r="E4" s="16" t="s">
        <v>75</v>
      </c>
      <c r="F4" s="40" t="s">
        <v>76</v>
      </c>
      <c r="G4" s="40"/>
      <c r="H4" s="40" t="s">
        <v>109</v>
      </c>
      <c r="R4" s="42"/>
      <c r="S4" s="42"/>
      <c r="T4" s="42"/>
      <c r="U4" s="77"/>
      <c r="V4" s="78"/>
    </row>
    <row r="5" spans="1:22">
      <c r="A5"/>
      <c r="C5" s="41" t="s">
        <v>77</v>
      </c>
      <c r="D5" s="42" t="s">
        <v>78</v>
      </c>
      <c r="E5" s="42" t="s">
        <v>79</v>
      </c>
      <c r="F5" s="42" t="s">
        <v>79</v>
      </c>
      <c r="G5" s="42"/>
      <c r="H5" s="42" t="s">
        <v>79</v>
      </c>
      <c r="R5" s="79"/>
      <c r="S5" s="79"/>
      <c r="T5" s="79"/>
      <c r="U5" s="80"/>
      <c r="V5" s="80"/>
    </row>
    <row r="6" spans="1:22">
      <c r="A6"/>
      <c r="C6" t="s">
        <v>80</v>
      </c>
      <c r="D6" s="55">
        <v>1.05</v>
      </c>
      <c r="E6" s="43">
        <f t="shared" ref="E6:E17" si="0">IF(E$18=0,F6,I6)</f>
        <v>1400</v>
      </c>
      <c r="F6" s="44" t="e">
        <f>N28</f>
        <v>#DIV/0!</v>
      </c>
      <c r="G6" s="43"/>
      <c r="H6" t="e">
        <f>J6*$G$25*31</f>
        <v>#DIV/0!</v>
      </c>
      <c r="I6">
        <f>IF($E$18=0,$F$19*D6,$E$19*D6)</f>
        <v>1400</v>
      </c>
      <c r="J6">
        <v>0.56999999999999995</v>
      </c>
      <c r="K6" s="43" t="e">
        <f t="shared" ref="K6:K17" si="1">-F6+H6</f>
        <v>#DIV/0!</v>
      </c>
      <c r="R6" s="79"/>
      <c r="S6" s="79"/>
      <c r="T6" s="79"/>
      <c r="U6" s="80"/>
      <c r="V6" s="80"/>
    </row>
    <row r="7" spans="1:22">
      <c r="A7"/>
      <c r="C7" t="s">
        <v>81</v>
      </c>
      <c r="D7" s="55">
        <v>0.95</v>
      </c>
      <c r="E7" s="43">
        <f t="shared" si="0"/>
        <v>1266.6666666666665</v>
      </c>
      <c r="F7" s="44" t="e">
        <f t="shared" ref="F7:F17" si="2">N29</f>
        <v>#DIV/0!</v>
      </c>
      <c r="G7" s="43"/>
      <c r="H7" t="e">
        <f>J7*$G$25*28.25</f>
        <v>#DIV/0!</v>
      </c>
      <c r="I7">
        <f t="shared" ref="I7:I17" si="3">IF($E$18=0,$F$19*D7,$E$19*D7)</f>
        <v>1266.6666666666665</v>
      </c>
      <c r="J7">
        <v>0.75</v>
      </c>
      <c r="K7" s="43" t="e">
        <f t="shared" si="1"/>
        <v>#DIV/0!</v>
      </c>
      <c r="R7" s="79"/>
      <c r="S7" s="79"/>
      <c r="T7" s="79"/>
      <c r="U7" s="80"/>
      <c r="V7" s="80"/>
    </row>
    <row r="8" spans="1:22">
      <c r="A8"/>
      <c r="C8" t="s">
        <v>82</v>
      </c>
      <c r="D8" s="55">
        <v>0.85</v>
      </c>
      <c r="E8" s="43">
        <f t="shared" si="0"/>
        <v>1133.3333333333333</v>
      </c>
      <c r="F8" s="44" t="e">
        <f t="shared" si="2"/>
        <v>#DIV/0!</v>
      </c>
      <c r="G8" s="43"/>
      <c r="H8" t="e">
        <f t="shared" ref="H8:H17" si="4">J8*$G$25*31</f>
        <v>#DIV/0!</v>
      </c>
      <c r="I8">
        <f t="shared" si="3"/>
        <v>1133.3333333333333</v>
      </c>
      <c r="J8">
        <v>0.99</v>
      </c>
      <c r="K8" s="43" t="e">
        <f t="shared" si="1"/>
        <v>#DIV/0!</v>
      </c>
      <c r="R8" s="79"/>
      <c r="S8" s="79"/>
      <c r="T8" s="79"/>
      <c r="U8" s="80"/>
      <c r="V8" s="80"/>
    </row>
    <row r="9" spans="1:22">
      <c r="A9"/>
      <c r="C9" t="s">
        <v>83</v>
      </c>
      <c r="D9" s="55">
        <v>0.8</v>
      </c>
      <c r="E9" s="43">
        <f t="shared" si="0"/>
        <v>1066.6666666666667</v>
      </c>
      <c r="F9" s="44" t="e">
        <f t="shared" si="2"/>
        <v>#DIV/0!</v>
      </c>
      <c r="G9" s="43"/>
      <c r="H9" t="e">
        <f>J9*$G$25*30</f>
        <v>#DIV/0!</v>
      </c>
      <c r="I9">
        <f t="shared" si="3"/>
        <v>1066.6666666666667</v>
      </c>
      <c r="J9">
        <v>1.1599999999999999</v>
      </c>
      <c r="K9" s="43" t="e">
        <f t="shared" si="1"/>
        <v>#DIV/0!</v>
      </c>
      <c r="R9" s="79"/>
      <c r="S9" s="79"/>
      <c r="T9" s="79"/>
      <c r="U9" s="80"/>
      <c r="V9" s="80"/>
    </row>
    <row r="10" spans="1:22">
      <c r="A10"/>
      <c r="C10" t="s">
        <v>84</v>
      </c>
      <c r="D10" s="55">
        <v>0.9</v>
      </c>
      <c r="E10" s="43">
        <f t="shared" si="0"/>
        <v>1200</v>
      </c>
      <c r="F10" s="44" t="e">
        <f t="shared" si="2"/>
        <v>#DIV/0!</v>
      </c>
      <c r="G10" s="43"/>
      <c r="H10" t="e">
        <f t="shared" si="4"/>
        <v>#DIV/0!</v>
      </c>
      <c r="I10">
        <f t="shared" si="3"/>
        <v>1200</v>
      </c>
      <c r="J10">
        <v>1.3</v>
      </c>
      <c r="K10" s="43" t="e">
        <f t="shared" si="1"/>
        <v>#DIV/0!</v>
      </c>
      <c r="R10" s="79"/>
      <c r="S10" s="79"/>
      <c r="T10" s="79"/>
      <c r="U10" s="80"/>
      <c r="V10" s="80"/>
    </row>
    <row r="11" spans="1:22">
      <c r="A11" s="3" t="s">
        <v>85</v>
      </c>
      <c r="C11" t="s">
        <v>86</v>
      </c>
      <c r="D11" s="55">
        <v>1.1000000000000001</v>
      </c>
      <c r="E11" s="43">
        <f t="shared" si="0"/>
        <v>1466.6666666666667</v>
      </c>
      <c r="F11" s="44" t="e">
        <f t="shared" si="2"/>
        <v>#DIV/0!</v>
      </c>
      <c r="G11" s="43"/>
      <c r="H11" t="e">
        <f>J11*$G$25*30</f>
        <v>#DIV/0!</v>
      </c>
      <c r="I11">
        <f t="shared" si="3"/>
        <v>1466.6666666666667</v>
      </c>
      <c r="J11">
        <v>1.32</v>
      </c>
      <c r="K11" s="43" t="e">
        <f t="shared" si="1"/>
        <v>#DIV/0!</v>
      </c>
      <c r="R11" s="79"/>
      <c r="S11" s="79"/>
      <c r="T11" s="79"/>
      <c r="U11" s="80"/>
      <c r="V11" s="80"/>
    </row>
    <row r="12" spans="1:22">
      <c r="A12" s="1" t="b">
        <f>SUM(D6:D17)=12</f>
        <v>1</v>
      </c>
      <c r="C12" t="s">
        <v>87</v>
      </c>
      <c r="D12" s="55">
        <v>1.25</v>
      </c>
      <c r="E12" s="43">
        <f t="shared" si="0"/>
        <v>1666.6666666666665</v>
      </c>
      <c r="F12" s="44" t="e">
        <f t="shared" si="2"/>
        <v>#DIV/0!</v>
      </c>
      <c r="H12" t="e">
        <f t="shared" si="4"/>
        <v>#DIV/0!</v>
      </c>
      <c r="I12">
        <f t="shared" si="3"/>
        <v>1666.6666666666665</v>
      </c>
      <c r="J12">
        <v>1.31</v>
      </c>
      <c r="K12" s="43" t="e">
        <f t="shared" si="1"/>
        <v>#DIV/0!</v>
      </c>
      <c r="R12" s="79"/>
      <c r="S12" s="79"/>
      <c r="T12" s="79"/>
      <c r="U12" s="80"/>
      <c r="V12" s="80"/>
    </row>
    <row r="13" spans="1:22">
      <c r="A13" s="45" t="e">
        <f>IF(F18=0,"",ABS((F18-E18)/F18))</f>
        <v>#DIV/0!</v>
      </c>
      <c r="C13" t="s">
        <v>88</v>
      </c>
      <c r="D13" s="55">
        <v>1.3</v>
      </c>
      <c r="E13" s="43">
        <f t="shared" si="0"/>
        <v>1733.3333333333333</v>
      </c>
      <c r="F13" s="44" t="e">
        <f t="shared" si="2"/>
        <v>#DIV/0!</v>
      </c>
      <c r="H13" t="e">
        <f t="shared" si="4"/>
        <v>#DIV/0!</v>
      </c>
      <c r="I13">
        <f t="shared" si="3"/>
        <v>1733.3333333333333</v>
      </c>
      <c r="J13">
        <v>1.28</v>
      </c>
      <c r="K13" s="43" t="e">
        <f t="shared" si="1"/>
        <v>#DIV/0!</v>
      </c>
      <c r="R13" s="79"/>
      <c r="S13" s="79"/>
      <c r="T13" s="79"/>
      <c r="U13" s="80"/>
      <c r="V13" s="80"/>
    </row>
    <row r="14" spans="1:22">
      <c r="A14"/>
      <c r="C14" t="s">
        <v>89</v>
      </c>
      <c r="D14" s="55">
        <v>1.1000000000000001</v>
      </c>
      <c r="E14" s="43">
        <f t="shared" si="0"/>
        <v>1466.6666666666667</v>
      </c>
      <c r="F14" s="44" t="e">
        <f t="shared" si="2"/>
        <v>#DIV/0!</v>
      </c>
      <c r="H14" t="e">
        <f>J14*$G$25*30</f>
        <v>#DIV/0!</v>
      </c>
      <c r="I14">
        <f t="shared" si="3"/>
        <v>1466.6666666666667</v>
      </c>
      <c r="J14">
        <v>1.1399999999999999</v>
      </c>
      <c r="K14" s="43" t="e">
        <f t="shared" si="1"/>
        <v>#DIV/0!</v>
      </c>
      <c r="R14" s="79"/>
      <c r="S14" s="79"/>
      <c r="T14" s="79"/>
      <c r="U14" s="80"/>
      <c r="V14" s="80"/>
    </row>
    <row r="15" spans="1:22">
      <c r="A15"/>
      <c r="C15" t="s">
        <v>90</v>
      </c>
      <c r="D15" s="55">
        <v>0.8</v>
      </c>
      <c r="E15" s="43">
        <f t="shared" si="0"/>
        <v>1066.6666666666667</v>
      </c>
      <c r="F15" s="44" t="e">
        <f t="shared" si="2"/>
        <v>#DIV/0!</v>
      </c>
      <c r="H15" t="e">
        <f t="shared" si="4"/>
        <v>#DIV/0!</v>
      </c>
      <c r="I15">
        <f t="shared" si="3"/>
        <v>1066.6666666666667</v>
      </c>
      <c r="J15">
        <v>0.97</v>
      </c>
      <c r="K15" s="43" t="e">
        <f t="shared" si="1"/>
        <v>#DIV/0!</v>
      </c>
      <c r="R15" s="79"/>
      <c r="S15" s="79"/>
      <c r="T15" s="79"/>
      <c r="U15" s="80"/>
      <c r="V15" s="80"/>
    </row>
    <row r="16" spans="1:22">
      <c r="A16"/>
      <c r="C16" t="s">
        <v>91</v>
      </c>
      <c r="D16" s="55">
        <v>0.9</v>
      </c>
      <c r="E16" s="43">
        <f t="shared" si="0"/>
        <v>1200</v>
      </c>
      <c r="F16" s="44" t="e">
        <f t="shared" si="2"/>
        <v>#DIV/0!</v>
      </c>
      <c r="H16" t="e">
        <f>J16*$G$25*30</f>
        <v>#DIV/0!</v>
      </c>
      <c r="I16">
        <f t="shared" si="3"/>
        <v>1200</v>
      </c>
      <c r="J16">
        <v>0.67</v>
      </c>
      <c r="K16" s="43" t="e">
        <f t="shared" si="1"/>
        <v>#DIV/0!</v>
      </c>
      <c r="R16" s="79"/>
      <c r="S16" s="79"/>
      <c r="T16" s="79"/>
      <c r="U16" s="80"/>
      <c r="V16" s="80"/>
    </row>
    <row r="17" spans="1:24">
      <c r="A17"/>
      <c r="C17" t="s">
        <v>92</v>
      </c>
      <c r="D17" s="55">
        <v>1</v>
      </c>
      <c r="E17" s="57">
        <f t="shared" si="0"/>
        <v>1333.3333333333333</v>
      </c>
      <c r="F17" s="58" t="e">
        <f t="shared" si="2"/>
        <v>#DIV/0!</v>
      </c>
      <c r="G17" s="43"/>
      <c r="H17" s="59" t="e">
        <f t="shared" si="4"/>
        <v>#DIV/0!</v>
      </c>
      <c r="I17">
        <f t="shared" si="3"/>
        <v>1333.3333333333333</v>
      </c>
      <c r="J17">
        <v>0.54</v>
      </c>
      <c r="K17" s="43" t="e">
        <f t="shared" si="1"/>
        <v>#DIV/0!</v>
      </c>
      <c r="R17" s="79"/>
      <c r="S17" s="79"/>
      <c r="T17" s="79"/>
      <c r="U17" s="80"/>
      <c r="V17" s="81"/>
    </row>
    <row r="18" spans="1:24">
      <c r="A18"/>
      <c r="D18" s="46" t="s">
        <v>93</v>
      </c>
      <c r="E18" s="44">
        <v>16000</v>
      </c>
      <c r="F18" s="43" t="e">
        <f>SUM(F6:F17)</f>
        <v>#DIV/0!</v>
      </c>
      <c r="G18" s="43"/>
      <c r="H18" s="43" t="e">
        <f>SUM(H6:H17)</f>
        <v>#DIV/0!</v>
      </c>
      <c r="J18">
        <f>SUM(J6:J17)</f>
        <v>12</v>
      </c>
      <c r="K18" s="43"/>
    </row>
    <row r="19" spans="1:24">
      <c r="A19"/>
      <c r="D19" s="46" t="s">
        <v>94</v>
      </c>
      <c r="E19" s="43">
        <f>E18/12</f>
        <v>1333.3333333333333</v>
      </c>
      <c r="F19" s="43" t="e">
        <f>F18/12</f>
        <v>#DIV/0!</v>
      </c>
      <c r="G19" s="43"/>
    </row>
    <row r="20" spans="1:24">
      <c r="A20"/>
      <c r="C20" s="3"/>
      <c r="E20" s="43"/>
      <c r="F20" s="43"/>
      <c r="G20" s="43"/>
    </row>
    <row r="21" spans="1:24">
      <c r="A21" s="3" t="s">
        <v>95</v>
      </c>
      <c r="H21" s="47"/>
    </row>
    <row r="22" spans="1:24">
      <c r="A22" s="3"/>
      <c r="H22" s="47"/>
    </row>
    <row r="23" spans="1:24" ht="12.9">
      <c r="A23"/>
      <c r="C23" s="48" t="s">
        <v>110</v>
      </c>
      <c r="D23" s="49">
        <v>1</v>
      </c>
      <c r="H23" s="47"/>
    </row>
    <row r="24" spans="1:24" ht="12.9">
      <c r="A24"/>
      <c r="C24" s="48" t="s">
        <v>96</v>
      </c>
      <c r="D24" s="49">
        <v>0.77</v>
      </c>
      <c r="G24" s="42" t="s">
        <v>79</v>
      </c>
    </row>
    <row r="25" spans="1:24" ht="12.9">
      <c r="A25"/>
      <c r="C25" s="48" t="s">
        <v>97</v>
      </c>
      <c r="E25" s="50">
        <f>E18/365/5.2*D23</f>
        <v>8.4299262381454163</v>
      </c>
      <c r="F25" s="50" t="e">
        <f>F18/365/5.2*D23</f>
        <v>#DIV/0!</v>
      </c>
      <c r="G25" s="50" t="e">
        <f>AVERAGE(E25,F25)*5.2</f>
        <v>#DIV/0!</v>
      </c>
      <c r="H25" s="103"/>
    </row>
    <row r="26" spans="1:24">
      <c r="A26"/>
      <c r="C26" s="51" t="s">
        <v>98</v>
      </c>
      <c r="E26" s="52">
        <f>E25/D24</f>
        <v>10.947956153435605</v>
      </c>
      <c r="F26" s="52" t="e">
        <f>F25/D24</f>
        <v>#DIV/0!</v>
      </c>
      <c r="G26" s="52"/>
      <c r="H26" s="52"/>
      <c r="K26" s="172" t="s">
        <v>181</v>
      </c>
      <c r="L26" s="172"/>
      <c r="M26" s="172"/>
    </row>
    <row r="27" spans="1:24" ht="12.9">
      <c r="A27"/>
      <c r="D27">
        <v>300</v>
      </c>
      <c r="E27" s="75">
        <f>(E26*1000)/D27</f>
        <v>36.493187178118681</v>
      </c>
      <c r="F27" s="17" t="s">
        <v>158</v>
      </c>
      <c r="K27" s="94" t="s">
        <v>166</v>
      </c>
      <c r="L27" s="95" t="s">
        <v>167</v>
      </c>
      <c r="M27" s="95" t="s">
        <v>180</v>
      </c>
      <c r="N27" s="11" t="s">
        <v>168</v>
      </c>
    </row>
    <row r="28" spans="1:24" ht="12.9">
      <c r="A28"/>
      <c r="D28">
        <v>274.5</v>
      </c>
      <c r="E28" s="75" t="e">
        <f>G25*365/1750/(D28/1000)</f>
        <v>#DIV/0!</v>
      </c>
      <c r="F28" s="17" t="s">
        <v>157</v>
      </c>
      <c r="J28" s="5" t="s">
        <v>169</v>
      </c>
      <c r="K28" t="s">
        <v>198</v>
      </c>
      <c r="L28" s="110"/>
      <c r="M28" s="98"/>
      <c r="N28" s="97" t="e">
        <f>AVERAGE(K28,L28,M28)</f>
        <v>#DIV/0!</v>
      </c>
      <c r="Q28" s="110"/>
      <c r="R28" s="110" t="e">
        <f>N28</f>
        <v>#DIV/0!</v>
      </c>
      <c r="S28" s="109"/>
      <c r="T28" s="108">
        <v>97</v>
      </c>
      <c r="U28" s="108">
        <v>0.18</v>
      </c>
      <c r="V28">
        <v>0.18</v>
      </c>
      <c r="W28" s="108"/>
    </row>
    <row r="29" spans="1:24" ht="15">
      <c r="A29"/>
      <c r="J29" s="5" t="s">
        <v>170</v>
      </c>
      <c r="K29" t="s">
        <v>199</v>
      </c>
      <c r="L29" s="110"/>
      <c r="M29" s="100"/>
      <c r="N29" s="97" t="e">
        <f t="shared" ref="N29:N39" si="5">AVERAGE(K29,L29,M29)</f>
        <v>#DIV/0!</v>
      </c>
      <c r="O29" s="91"/>
      <c r="Q29" s="110"/>
      <c r="R29" s="110" t="e">
        <f t="shared" ref="R29:R39" si="6">N29</f>
        <v>#DIV/0!</v>
      </c>
      <c r="S29" s="109"/>
      <c r="T29" s="108">
        <v>105</v>
      </c>
      <c r="U29" s="108">
        <v>0.18</v>
      </c>
      <c r="V29">
        <v>0.18</v>
      </c>
      <c r="W29" s="108"/>
    </row>
    <row r="30" spans="1:24">
      <c r="A30"/>
      <c r="J30" s="5" t="s">
        <v>171</v>
      </c>
      <c r="K30" t="s">
        <v>200</v>
      </c>
      <c r="L30" s="110"/>
      <c r="M30" s="99"/>
      <c r="N30" s="97" t="e">
        <f t="shared" si="5"/>
        <v>#DIV/0!</v>
      </c>
      <c r="O30" s="92"/>
      <c r="Q30" s="110"/>
      <c r="R30" s="110" t="e">
        <f t="shared" si="6"/>
        <v>#DIV/0!</v>
      </c>
      <c r="S30" s="109"/>
      <c r="T30" s="108">
        <v>98</v>
      </c>
      <c r="U30" s="108">
        <v>0.18</v>
      </c>
      <c r="V30">
        <v>0.18</v>
      </c>
      <c r="W30" s="108"/>
    </row>
    <row r="31" spans="1:24">
      <c r="A31"/>
      <c r="J31" s="5" t="s">
        <v>172</v>
      </c>
      <c r="K31" t="s">
        <v>201</v>
      </c>
      <c r="L31" s="110"/>
      <c r="M31" s="99"/>
      <c r="N31" s="97" t="e">
        <f t="shared" si="5"/>
        <v>#DIV/0!</v>
      </c>
      <c r="O31" s="92"/>
      <c r="Q31" s="110"/>
      <c r="R31" s="110" t="e">
        <f t="shared" si="6"/>
        <v>#DIV/0!</v>
      </c>
      <c r="S31" s="109"/>
      <c r="T31" s="108">
        <v>127</v>
      </c>
      <c r="U31" s="108">
        <v>0.18</v>
      </c>
      <c r="V31">
        <v>0.18</v>
      </c>
      <c r="W31" s="108"/>
    </row>
    <row r="32" spans="1:24">
      <c r="A32"/>
      <c r="J32" s="5" t="s">
        <v>84</v>
      </c>
      <c r="K32" t="s">
        <v>202</v>
      </c>
      <c r="L32" s="110"/>
      <c r="M32" s="99"/>
      <c r="N32" s="97" t="e">
        <f t="shared" si="5"/>
        <v>#DIV/0!</v>
      </c>
      <c r="O32" s="92"/>
      <c r="Q32" s="110"/>
      <c r="R32" s="110" t="e">
        <f t="shared" si="6"/>
        <v>#DIV/0!</v>
      </c>
      <c r="S32" s="109"/>
      <c r="T32" s="108">
        <f>X32*V32</f>
        <v>135</v>
      </c>
      <c r="U32" s="108">
        <v>0.2</v>
      </c>
      <c r="V32">
        <v>0.2</v>
      </c>
      <c r="W32" s="108"/>
      <c r="X32" s="43">
        <v>675</v>
      </c>
    </row>
    <row r="33" spans="1:24">
      <c r="A33" s="39"/>
      <c r="J33" s="5" t="s">
        <v>173</v>
      </c>
      <c r="K33" t="s">
        <v>203</v>
      </c>
      <c r="L33" s="110"/>
      <c r="M33" s="99"/>
      <c r="N33" s="97" t="e">
        <f t="shared" si="5"/>
        <v>#DIV/0!</v>
      </c>
      <c r="O33" s="92"/>
      <c r="Q33" s="110"/>
      <c r="R33" s="110" t="e">
        <f t="shared" si="6"/>
        <v>#DIV/0!</v>
      </c>
      <c r="S33" s="109"/>
      <c r="T33" s="108">
        <f>X33*V33</f>
        <v>165.00000000000003</v>
      </c>
      <c r="U33" s="108">
        <v>0.2</v>
      </c>
      <c r="V33">
        <v>0.2</v>
      </c>
      <c r="W33" s="108"/>
      <c r="X33" s="43">
        <v>825.00000000000011</v>
      </c>
    </row>
    <row r="34" spans="1:24">
      <c r="A34"/>
      <c r="J34" s="5" t="s">
        <v>174</v>
      </c>
      <c r="K34" t="s">
        <v>204</v>
      </c>
      <c r="L34" s="110"/>
      <c r="M34" s="99"/>
      <c r="N34" s="97" t="e">
        <f t="shared" si="5"/>
        <v>#DIV/0!</v>
      </c>
      <c r="O34" s="92"/>
      <c r="Q34" s="110"/>
      <c r="R34" s="110" t="e">
        <f t="shared" si="6"/>
        <v>#DIV/0!</v>
      </c>
      <c r="S34" s="109"/>
      <c r="T34" s="108">
        <f>X34*V34</f>
        <v>187.5</v>
      </c>
      <c r="U34" s="108">
        <v>0.2</v>
      </c>
      <c r="V34">
        <v>0.2</v>
      </c>
      <c r="W34" s="108"/>
      <c r="X34" s="43">
        <v>937.5</v>
      </c>
    </row>
    <row r="35" spans="1:24">
      <c r="A35"/>
      <c r="C35" s="60"/>
      <c r="D35" s="41"/>
      <c r="J35" s="5" t="s">
        <v>175</v>
      </c>
      <c r="K35" t="s">
        <v>205</v>
      </c>
      <c r="L35" s="110"/>
      <c r="M35" s="99"/>
      <c r="N35" s="97" t="e">
        <f t="shared" si="5"/>
        <v>#DIV/0!</v>
      </c>
      <c r="O35" s="92"/>
      <c r="Q35" s="110"/>
      <c r="R35" s="110" t="e">
        <f t="shared" si="6"/>
        <v>#DIV/0!</v>
      </c>
      <c r="S35" s="109"/>
      <c r="T35" s="108">
        <f>X35*V35</f>
        <v>195</v>
      </c>
      <c r="U35" s="108">
        <v>0.2</v>
      </c>
      <c r="V35">
        <v>0.2</v>
      </c>
      <c r="W35" s="108"/>
      <c r="X35" s="43">
        <v>975</v>
      </c>
    </row>
    <row r="36" spans="1:24">
      <c r="A36" s="3"/>
      <c r="C36" s="60"/>
      <c r="D36" s="43"/>
      <c r="J36" s="5" t="s">
        <v>176</v>
      </c>
      <c r="K36" t="s">
        <v>206</v>
      </c>
      <c r="L36" s="110"/>
      <c r="M36" s="99"/>
      <c r="N36" s="97" t="e">
        <f t="shared" si="5"/>
        <v>#DIV/0!</v>
      </c>
      <c r="O36" s="92"/>
      <c r="Q36" s="110"/>
      <c r="R36" s="110" t="e">
        <f t="shared" si="6"/>
        <v>#DIV/0!</v>
      </c>
      <c r="S36" s="109"/>
      <c r="T36" s="108">
        <f>X36*V36</f>
        <v>165.00000000000003</v>
      </c>
      <c r="U36" s="108">
        <v>0.2</v>
      </c>
      <c r="V36">
        <v>0.2</v>
      </c>
      <c r="W36" s="108"/>
      <c r="X36" s="43">
        <v>825.00000000000011</v>
      </c>
    </row>
    <row r="37" spans="1:24">
      <c r="A37" s="43"/>
      <c r="C37" s="60"/>
      <c r="D37" s="43"/>
      <c r="J37" s="5" t="s">
        <v>177</v>
      </c>
      <c r="K37" t="s">
        <v>207</v>
      </c>
      <c r="L37" s="110"/>
      <c r="M37" s="99"/>
      <c r="N37" s="97" t="e">
        <f t="shared" si="5"/>
        <v>#DIV/0!</v>
      </c>
      <c r="O37" s="92"/>
      <c r="Q37" s="110"/>
      <c r="R37" s="110" t="e">
        <f t="shared" si="6"/>
        <v>#DIV/0!</v>
      </c>
      <c r="S37" s="109"/>
      <c r="T37" s="108">
        <v>107</v>
      </c>
      <c r="U37" s="108">
        <v>0.2</v>
      </c>
      <c r="V37">
        <v>0.2</v>
      </c>
      <c r="W37" s="108"/>
    </row>
    <row r="38" spans="1:24">
      <c r="A38" s="3"/>
      <c r="C38" s="60"/>
      <c r="D38" s="43"/>
      <c r="J38" s="5" t="s">
        <v>178</v>
      </c>
      <c r="K38" t="s">
        <v>208</v>
      </c>
      <c r="L38" s="110"/>
      <c r="M38" s="99"/>
      <c r="N38" s="97" t="e">
        <f t="shared" si="5"/>
        <v>#DIV/0!</v>
      </c>
      <c r="O38" s="92"/>
      <c r="Q38" s="110"/>
      <c r="R38" s="110" t="e">
        <f t="shared" si="6"/>
        <v>#DIV/0!</v>
      </c>
      <c r="S38" s="109"/>
      <c r="T38" s="108">
        <v>120</v>
      </c>
      <c r="U38" s="108">
        <v>0.18</v>
      </c>
      <c r="V38">
        <v>0.18</v>
      </c>
      <c r="W38" s="108"/>
    </row>
    <row r="39" spans="1:24">
      <c r="A39" s="43"/>
      <c r="C39" s="60"/>
      <c r="D39" s="43"/>
      <c r="J39" s="5" t="s">
        <v>179</v>
      </c>
      <c r="K39" t="s">
        <v>209</v>
      </c>
      <c r="L39" s="110"/>
      <c r="M39" s="99"/>
      <c r="N39" s="97" t="e">
        <f t="shared" si="5"/>
        <v>#DIV/0!</v>
      </c>
      <c r="O39" s="92"/>
      <c r="Q39" s="110"/>
      <c r="R39" s="110" t="e">
        <f t="shared" si="6"/>
        <v>#DIV/0!</v>
      </c>
      <c r="S39" s="109"/>
      <c r="T39" s="108">
        <v>121</v>
      </c>
      <c r="U39" s="108">
        <v>0.18</v>
      </c>
      <c r="V39">
        <v>0.18</v>
      </c>
      <c r="W39" s="108"/>
    </row>
    <row r="40" spans="1:24">
      <c r="A40"/>
      <c r="C40" s="60"/>
      <c r="D40" s="43"/>
      <c r="K40" s="8"/>
      <c r="L40" s="8"/>
      <c r="M40" s="8"/>
      <c r="N40" s="8"/>
      <c r="O40" s="92"/>
      <c r="T40" s="108">
        <f>SUM(T28:T39)</f>
        <v>1622.5</v>
      </c>
      <c r="U40" s="112" t="e">
        <f>T40/N41</f>
        <v>#DIV/0!</v>
      </c>
      <c r="W40" s="109"/>
    </row>
    <row r="41" spans="1:24">
      <c r="A41"/>
      <c r="C41" s="60"/>
      <c r="D41" s="43"/>
      <c r="K41" s="101">
        <f>SUM(K28:K40)</f>
        <v>0</v>
      </c>
      <c r="L41" s="101">
        <f>SUM(L28:L40)</f>
        <v>0</v>
      </c>
      <c r="M41" s="101">
        <f>SUM(M28:M40)</f>
        <v>0</v>
      </c>
      <c r="N41" s="96" t="e">
        <f>SUM(N28:N40)</f>
        <v>#DIV/0!</v>
      </c>
    </row>
    <row r="42" spans="1:24">
      <c r="A42"/>
      <c r="C42" s="60"/>
      <c r="D42" s="43"/>
      <c r="N42" s="92"/>
      <c r="T42" s="108">
        <f>T40/12</f>
        <v>135.20833333333334</v>
      </c>
    </row>
    <row r="43" spans="1:24">
      <c r="A43"/>
      <c r="C43" s="60"/>
      <c r="D43" s="43"/>
    </row>
    <row r="44" spans="1:24">
      <c r="A44"/>
      <c r="C44" s="60"/>
      <c r="D44" s="43"/>
    </row>
    <row r="45" spans="1:24">
      <c r="A45"/>
      <c r="C45" s="60"/>
      <c r="D45" s="43"/>
    </row>
    <row r="46" spans="1:24">
      <c r="A46"/>
      <c r="C46" s="60"/>
      <c r="D46" s="43"/>
    </row>
    <row r="47" spans="1:24">
      <c r="A47"/>
      <c r="C47" s="60"/>
      <c r="D47" s="43"/>
      <c r="E47" s="43"/>
    </row>
    <row r="48" spans="1:24" ht="12.9">
      <c r="A48"/>
      <c r="D48" s="53"/>
      <c r="E48" s="43"/>
    </row>
    <row r="49" spans="1:5">
      <c r="A49"/>
      <c r="C49" s="60"/>
      <c r="E49" s="43"/>
    </row>
    <row r="50" spans="1:5">
      <c r="A50" s="3"/>
      <c r="E50" s="43"/>
    </row>
    <row r="51" spans="1:5" ht="12.9">
      <c r="A51" s="47"/>
      <c r="B51" s="17"/>
      <c r="C51" s="60"/>
      <c r="E51" s="43"/>
    </row>
    <row r="52" spans="1:5" ht="12.9">
      <c r="A52" s="50"/>
      <c r="B52" s="17"/>
      <c r="E52" s="43"/>
    </row>
    <row r="53" spans="1:5">
      <c r="A53" s="52"/>
      <c r="B53" s="16"/>
      <c r="C53" s="60"/>
      <c r="E53" s="43"/>
    </row>
    <row r="54" spans="1:5">
      <c r="A54"/>
      <c r="E54" s="43"/>
    </row>
    <row r="55" spans="1:5">
      <c r="A55"/>
      <c r="C55" s="60"/>
      <c r="E55" s="43"/>
    </row>
    <row r="56" spans="1:5">
      <c r="A56"/>
    </row>
    <row r="57" spans="1:5">
      <c r="A57"/>
      <c r="C57" s="60"/>
    </row>
    <row r="58" spans="1:5">
      <c r="A58"/>
    </row>
    <row r="59" spans="1:5">
      <c r="A59"/>
      <c r="C59" s="60"/>
    </row>
    <row r="60" spans="1:5">
      <c r="A60"/>
    </row>
    <row r="61" spans="1:5">
      <c r="C61" s="60"/>
    </row>
    <row r="63" spans="1:5">
      <c r="C63" s="60"/>
    </row>
    <row r="65" spans="3:3">
      <c r="C65" s="60"/>
    </row>
    <row r="67" spans="3:3">
      <c r="C67" s="60"/>
    </row>
    <row r="69" spans="3:3">
      <c r="C69" s="60"/>
    </row>
    <row r="71" spans="3:3">
      <c r="C71" s="60"/>
    </row>
    <row r="73" spans="3:3">
      <c r="C73" s="60"/>
    </row>
    <row r="75" spans="3:3">
      <c r="C75" s="60"/>
    </row>
  </sheetData>
  <mergeCells count="1">
    <mergeCell ref="K26:M26"/>
  </mergeCells>
  <phoneticPr fontId="0" type="noConversion"/>
  <printOptions horizontalCentered="1" verticalCentered="1"/>
  <pageMargins left="0.23" right="0.28999999999999998" top="0.25" bottom="0.46" header="0.5" footer="0.5"/>
  <pageSetup scale="76" orientation="landscape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50512-1622-446F-B868-8FF83874E81A}">
  <sheetPr>
    <pageSetUpPr fitToPage="1"/>
  </sheetPr>
  <dimension ref="A1:J43"/>
  <sheetViews>
    <sheetView topLeftCell="A4" workbookViewId="0">
      <selection activeCell="E12" sqref="E12"/>
    </sheetView>
  </sheetViews>
  <sheetFormatPr defaultRowHeight="12.45"/>
  <cols>
    <col min="1" max="1" width="10" bestFit="1" customWidth="1"/>
    <col min="2" max="2" width="14.84375" bestFit="1" customWidth="1"/>
    <col min="3" max="3" width="16.15234375" customWidth="1"/>
    <col min="4" max="4" width="12.3828125" customWidth="1"/>
    <col min="7" max="7" width="12.3828125" bestFit="1" customWidth="1"/>
    <col min="8" max="8" width="12.3828125" customWidth="1"/>
    <col min="9" max="9" width="14.3046875" customWidth="1"/>
    <col min="10" max="10" width="14.84375" customWidth="1"/>
  </cols>
  <sheetData>
    <row r="1" spans="1:10">
      <c r="A1" s="3" t="str">
        <f>'Customer Info'!B1</f>
        <v>{{JOB_NAME}}</v>
      </c>
    </row>
    <row r="3" spans="1:10">
      <c r="B3" s="50">
        <f>'Energy Usage'!E25</f>
        <v>8.4299262381454163</v>
      </c>
      <c r="C3" t="s">
        <v>111</v>
      </c>
    </row>
    <row r="4" spans="1:10">
      <c r="B4" s="62" t="e">
        <f>#REF!</f>
        <v>#REF!</v>
      </c>
      <c r="C4" t="s">
        <v>112</v>
      </c>
      <c r="E4" s="62"/>
    </row>
    <row r="5" spans="1:10">
      <c r="B5" s="43">
        <f>'Energy Usage'!E18</f>
        <v>16000</v>
      </c>
      <c r="C5" t="s">
        <v>116</v>
      </c>
    </row>
    <row r="6" spans="1:10">
      <c r="B6" s="71">
        <v>0.26</v>
      </c>
      <c r="C6" t="s">
        <v>113</v>
      </c>
    </row>
    <row r="7" spans="1:10">
      <c r="B7" s="72">
        <v>0.02</v>
      </c>
      <c r="C7" t="s">
        <v>114</v>
      </c>
    </row>
    <row r="9" spans="1:10">
      <c r="B9" s="62" t="e">
        <f>#REF!</f>
        <v>#REF!</v>
      </c>
      <c r="C9" t="s">
        <v>125</v>
      </c>
      <c r="G9" t="s">
        <v>121</v>
      </c>
      <c r="H9" t="s">
        <v>210</v>
      </c>
    </row>
    <row r="10" spans="1:10">
      <c r="B10" s="62" t="e">
        <f>#REF!</f>
        <v>#REF!</v>
      </c>
      <c r="C10" t="s">
        <v>115</v>
      </c>
    </row>
    <row r="11" spans="1:10">
      <c r="B11" s="68" t="e">
        <f>#REF!</f>
        <v>#REF!</v>
      </c>
      <c r="C11" t="s">
        <v>117</v>
      </c>
    </row>
    <row r="12" spans="1:10">
      <c r="B12" s="56" t="e">
        <f>#REF!</f>
        <v>#REF!</v>
      </c>
      <c r="C12" t="s">
        <v>126</v>
      </c>
    </row>
    <row r="15" spans="1:10">
      <c r="B15" s="173" t="s">
        <v>123</v>
      </c>
      <c r="C15" s="173"/>
      <c r="D15" s="173"/>
      <c r="G15" s="173" t="s">
        <v>122</v>
      </c>
      <c r="H15" s="173"/>
      <c r="I15" s="173"/>
      <c r="J15" s="173"/>
    </row>
    <row r="17" spans="1:10">
      <c r="B17" s="174" t="s">
        <v>127</v>
      </c>
      <c r="C17" s="174" t="s">
        <v>128</v>
      </c>
      <c r="D17" s="174" t="s">
        <v>129</v>
      </c>
      <c r="G17" s="63" t="s">
        <v>124</v>
      </c>
      <c r="H17" s="64" t="s">
        <v>118</v>
      </c>
      <c r="I17" s="63" t="s">
        <v>119</v>
      </c>
      <c r="J17" s="64" t="s">
        <v>118</v>
      </c>
    </row>
    <row r="18" spans="1:10">
      <c r="B18" s="174"/>
      <c r="C18" s="174"/>
      <c r="D18" s="174"/>
      <c r="F18" t="str">
        <f>H9</f>
        <v>{{YEAR}}</v>
      </c>
      <c r="G18" s="61" t="e">
        <f>H18</f>
        <v>#REF!</v>
      </c>
      <c r="H18" s="65" t="e">
        <f>-B9+D31*$B$6-$B$11-$B$10</f>
        <v>#REF!</v>
      </c>
      <c r="I18" s="61">
        <f>J18</f>
        <v>-4160</v>
      </c>
      <c r="J18" s="65">
        <f>-$B$5*$B$6</f>
        <v>-4160</v>
      </c>
    </row>
    <row r="19" spans="1:10">
      <c r="A19" t="s">
        <v>80</v>
      </c>
      <c r="B19" s="69" t="e">
        <f>'Energy Usage'!H6</f>
        <v>#DIV/0!</v>
      </c>
      <c r="C19" s="69">
        <f>'Energy Usage'!E6</f>
        <v>1400</v>
      </c>
      <c r="D19" s="69" t="e">
        <f>C19-B19</f>
        <v>#DIV/0!</v>
      </c>
      <c r="F19" t="e">
        <f t="shared" ref="F19:F43" si="0">F18+1</f>
        <v>#VALUE!</v>
      </c>
      <c r="G19" s="61" t="e">
        <f>G18+H19</f>
        <v>#REF!</v>
      </c>
      <c r="H19" s="65" t="e">
        <f>$D$31*$B$6</f>
        <v>#DIV/0!</v>
      </c>
      <c r="I19" s="61">
        <f>I18+J19</f>
        <v>-8403.2000000000007</v>
      </c>
      <c r="J19" s="65">
        <f>J18*(1+$B$7)</f>
        <v>-4243.2</v>
      </c>
    </row>
    <row r="20" spans="1:10">
      <c r="A20" t="s">
        <v>81</v>
      </c>
      <c r="B20" s="69" t="e">
        <f>'Energy Usage'!H7</f>
        <v>#DIV/0!</v>
      </c>
      <c r="C20" s="69">
        <f>'Energy Usage'!E7</f>
        <v>1266.6666666666665</v>
      </c>
      <c r="D20" s="69" t="e">
        <f t="shared" ref="D20:D30" si="1">C20-B20</f>
        <v>#DIV/0!</v>
      </c>
      <c r="F20" t="e">
        <f t="shared" si="0"/>
        <v>#VALUE!</v>
      </c>
      <c r="G20" s="61" t="e">
        <f t="shared" ref="G20:G43" si="2">G19+H20</f>
        <v>#REF!</v>
      </c>
      <c r="H20" s="65" t="e">
        <f>H19*(1+$B$7)</f>
        <v>#DIV/0!</v>
      </c>
      <c r="I20" s="61">
        <f t="shared" ref="I20:I43" si="3">I19+J20</f>
        <v>-12731.264000000001</v>
      </c>
      <c r="J20" s="65">
        <f t="shared" ref="J20:J43" si="4">J19*(1+$B$7)</f>
        <v>-4328.0640000000003</v>
      </c>
    </row>
    <row r="21" spans="1:10">
      <c r="A21" t="s">
        <v>82</v>
      </c>
      <c r="B21" s="69" t="e">
        <f>'Energy Usage'!H8</f>
        <v>#DIV/0!</v>
      </c>
      <c r="C21" s="69">
        <f>'Energy Usage'!E8</f>
        <v>1133.3333333333333</v>
      </c>
      <c r="D21" s="69" t="e">
        <f t="shared" si="1"/>
        <v>#DIV/0!</v>
      </c>
      <c r="F21" t="e">
        <f t="shared" si="0"/>
        <v>#VALUE!</v>
      </c>
      <c r="G21" s="61" t="e">
        <f t="shared" si="2"/>
        <v>#REF!</v>
      </c>
      <c r="H21" s="65" t="e">
        <f t="shared" ref="H21:H43" si="5">H20*(1+$B$7)</f>
        <v>#DIV/0!</v>
      </c>
      <c r="I21" s="61">
        <f t="shared" si="3"/>
        <v>-17145.889280000003</v>
      </c>
      <c r="J21" s="65">
        <f t="shared" si="4"/>
        <v>-4414.6252800000002</v>
      </c>
    </row>
    <row r="22" spans="1:10">
      <c r="A22" t="s">
        <v>83</v>
      </c>
      <c r="B22" s="69" t="e">
        <f>'Energy Usage'!H9</f>
        <v>#DIV/0!</v>
      </c>
      <c r="C22" s="69">
        <f>'Energy Usage'!E9</f>
        <v>1066.6666666666667</v>
      </c>
      <c r="D22" s="69" t="e">
        <f t="shared" si="1"/>
        <v>#DIV/0!</v>
      </c>
      <c r="F22" t="e">
        <f t="shared" si="0"/>
        <v>#VALUE!</v>
      </c>
      <c r="G22" s="61" t="e">
        <f t="shared" si="2"/>
        <v>#REF!</v>
      </c>
      <c r="H22" s="65" t="e">
        <f t="shared" si="5"/>
        <v>#DIV/0!</v>
      </c>
      <c r="I22" s="61">
        <f t="shared" si="3"/>
        <v>-21648.807065600005</v>
      </c>
      <c r="J22" s="65">
        <f t="shared" si="4"/>
        <v>-4502.9177856000006</v>
      </c>
    </row>
    <row r="23" spans="1:10">
      <c r="A23" t="s">
        <v>84</v>
      </c>
      <c r="B23" s="69" t="e">
        <f>'Energy Usage'!H10</f>
        <v>#DIV/0!</v>
      </c>
      <c r="C23" s="69">
        <f>'Energy Usage'!E10</f>
        <v>1200</v>
      </c>
      <c r="D23" s="69" t="e">
        <f t="shared" si="1"/>
        <v>#DIV/0!</v>
      </c>
      <c r="F23" t="e">
        <f t="shared" si="0"/>
        <v>#VALUE!</v>
      </c>
      <c r="G23" s="61" t="e">
        <f t="shared" si="2"/>
        <v>#REF!</v>
      </c>
      <c r="H23" s="65" t="e">
        <f t="shared" si="5"/>
        <v>#DIV/0!</v>
      </c>
      <c r="I23" s="61">
        <f t="shared" si="3"/>
        <v>-26241.783206912005</v>
      </c>
      <c r="J23" s="65">
        <f t="shared" si="4"/>
        <v>-4592.9761413120004</v>
      </c>
    </row>
    <row r="24" spans="1:10">
      <c r="A24" t="s">
        <v>86</v>
      </c>
      <c r="B24" s="69" t="e">
        <f>'Energy Usage'!H11</f>
        <v>#DIV/0!</v>
      </c>
      <c r="C24" s="69">
        <f>'Energy Usage'!E11</f>
        <v>1466.6666666666667</v>
      </c>
      <c r="D24" s="69" t="e">
        <f t="shared" si="1"/>
        <v>#DIV/0!</v>
      </c>
      <c r="F24" t="e">
        <f t="shared" si="0"/>
        <v>#VALUE!</v>
      </c>
      <c r="G24" s="61" t="e">
        <f t="shared" si="2"/>
        <v>#REF!</v>
      </c>
      <c r="H24" s="65" t="e">
        <f t="shared" si="5"/>
        <v>#DIV/0!</v>
      </c>
      <c r="I24" s="61">
        <f t="shared" si="3"/>
        <v>-30926.618871050247</v>
      </c>
      <c r="J24" s="65">
        <f t="shared" si="4"/>
        <v>-4684.8356641382406</v>
      </c>
    </row>
    <row r="25" spans="1:10">
      <c r="A25" t="s">
        <v>87</v>
      </c>
      <c r="B25" s="69" t="e">
        <f>'Energy Usage'!H12</f>
        <v>#DIV/0!</v>
      </c>
      <c r="C25" s="69">
        <f>'Energy Usage'!E12</f>
        <v>1666.6666666666665</v>
      </c>
      <c r="D25" s="69" t="e">
        <f t="shared" si="1"/>
        <v>#DIV/0!</v>
      </c>
      <c r="F25" t="e">
        <f t="shared" si="0"/>
        <v>#VALUE!</v>
      </c>
      <c r="G25" s="61" t="e">
        <f t="shared" si="2"/>
        <v>#REF!</v>
      </c>
      <c r="H25" s="65" t="e">
        <f t="shared" si="5"/>
        <v>#DIV/0!</v>
      </c>
      <c r="I25" s="61">
        <f t="shared" si="3"/>
        <v>-35705.151248471251</v>
      </c>
      <c r="J25" s="65">
        <f t="shared" si="4"/>
        <v>-4778.5323774210055</v>
      </c>
    </row>
    <row r="26" spans="1:10">
      <c r="A26" t="s">
        <v>88</v>
      </c>
      <c r="B26" s="69" t="e">
        <f>'Energy Usage'!H13</f>
        <v>#DIV/0!</v>
      </c>
      <c r="C26" s="69">
        <f>'Energy Usage'!E13</f>
        <v>1733.3333333333333</v>
      </c>
      <c r="D26" s="69" t="e">
        <f t="shared" si="1"/>
        <v>#DIV/0!</v>
      </c>
      <c r="F26" t="e">
        <f t="shared" si="0"/>
        <v>#VALUE!</v>
      </c>
      <c r="G26" s="61" t="e">
        <f t="shared" si="2"/>
        <v>#REF!</v>
      </c>
      <c r="H26" s="65" t="e">
        <f t="shared" si="5"/>
        <v>#DIV/0!</v>
      </c>
      <c r="I26" s="61">
        <f t="shared" si="3"/>
        <v>-40579.254273440674</v>
      </c>
      <c r="J26" s="65">
        <f t="shared" si="4"/>
        <v>-4874.1030249694259</v>
      </c>
    </row>
    <row r="27" spans="1:10">
      <c r="A27" t="s">
        <v>89</v>
      </c>
      <c r="B27" s="69" t="e">
        <f>'Energy Usage'!H14</f>
        <v>#DIV/0!</v>
      </c>
      <c r="C27" s="69">
        <f>'Energy Usage'!E14</f>
        <v>1466.6666666666667</v>
      </c>
      <c r="D27" s="69" t="e">
        <f t="shared" si="1"/>
        <v>#DIV/0!</v>
      </c>
      <c r="F27" t="e">
        <f t="shared" si="0"/>
        <v>#VALUE!</v>
      </c>
      <c r="G27" s="61" t="e">
        <f t="shared" si="2"/>
        <v>#REF!</v>
      </c>
      <c r="H27" s="65" t="e">
        <f t="shared" si="5"/>
        <v>#DIV/0!</v>
      </c>
      <c r="I27" s="61">
        <f t="shared" si="3"/>
        <v>-45550.839358909492</v>
      </c>
      <c r="J27" s="65">
        <f t="shared" si="4"/>
        <v>-4971.5850854688142</v>
      </c>
    </row>
    <row r="28" spans="1:10">
      <c r="A28" t="s">
        <v>90</v>
      </c>
      <c r="B28" s="69" t="e">
        <f>'Energy Usage'!H15</f>
        <v>#DIV/0!</v>
      </c>
      <c r="C28" s="69">
        <f>'Energy Usage'!E15</f>
        <v>1066.6666666666667</v>
      </c>
      <c r="D28" s="69" t="e">
        <f t="shared" si="1"/>
        <v>#DIV/0!</v>
      </c>
      <c r="F28" t="e">
        <f t="shared" si="0"/>
        <v>#VALUE!</v>
      </c>
      <c r="G28" s="61" t="e">
        <f t="shared" si="2"/>
        <v>#REF!</v>
      </c>
      <c r="H28" s="65" t="e">
        <f t="shared" si="5"/>
        <v>#DIV/0!</v>
      </c>
      <c r="I28" s="61">
        <f t="shared" si="3"/>
        <v>-50621.856146087681</v>
      </c>
      <c r="J28" s="65">
        <f t="shared" si="4"/>
        <v>-5071.0167871781905</v>
      </c>
    </row>
    <row r="29" spans="1:10">
      <c r="A29" t="s">
        <v>91</v>
      </c>
      <c r="B29" s="69" t="e">
        <f>'Energy Usage'!H16</f>
        <v>#DIV/0!</v>
      </c>
      <c r="C29" s="69">
        <f>'Energy Usage'!E16</f>
        <v>1200</v>
      </c>
      <c r="D29" s="69" t="e">
        <f t="shared" si="1"/>
        <v>#DIV/0!</v>
      </c>
      <c r="F29" t="e">
        <f t="shared" si="0"/>
        <v>#VALUE!</v>
      </c>
      <c r="G29" s="61" t="e">
        <f t="shared" si="2"/>
        <v>#REF!</v>
      </c>
      <c r="H29" s="65" t="e">
        <f t="shared" si="5"/>
        <v>#DIV/0!</v>
      </c>
      <c r="I29" s="61">
        <f t="shared" si="3"/>
        <v>-55794.293269009431</v>
      </c>
      <c r="J29" s="65">
        <f t="shared" si="4"/>
        <v>-5172.4371229217541</v>
      </c>
    </row>
    <row r="30" spans="1:10">
      <c r="A30" s="59" t="s">
        <v>92</v>
      </c>
      <c r="B30" s="70" t="e">
        <f>'Energy Usage'!H17</f>
        <v>#DIV/0!</v>
      </c>
      <c r="C30" s="70">
        <f>'Energy Usage'!E17</f>
        <v>1333.3333333333333</v>
      </c>
      <c r="D30" s="70" t="e">
        <f t="shared" si="1"/>
        <v>#DIV/0!</v>
      </c>
      <c r="F30" t="e">
        <f t="shared" si="0"/>
        <v>#VALUE!</v>
      </c>
      <c r="G30" s="61" t="e">
        <f t="shared" si="2"/>
        <v>#REF!</v>
      </c>
      <c r="H30" s="65" t="e">
        <f t="shared" si="5"/>
        <v>#DIV/0!</v>
      </c>
      <c r="I30" s="61">
        <f t="shared" si="3"/>
        <v>-61070.179134389618</v>
      </c>
      <c r="J30" s="65">
        <f t="shared" si="4"/>
        <v>-5275.885865380189</v>
      </c>
    </row>
    <row r="31" spans="1:10">
      <c r="A31" t="s">
        <v>120</v>
      </c>
      <c r="B31" s="69" t="e">
        <f>'Energy Usage'!H18</f>
        <v>#DIV/0!</v>
      </c>
      <c r="C31" s="69">
        <f>'Energy Usage'!E18</f>
        <v>16000</v>
      </c>
      <c r="D31" s="69" t="e">
        <f>SUM(D19:D30)</f>
        <v>#DIV/0!</v>
      </c>
      <c r="F31" t="e">
        <f t="shared" si="0"/>
        <v>#VALUE!</v>
      </c>
      <c r="G31" s="61" t="e">
        <f t="shared" si="2"/>
        <v>#REF!</v>
      </c>
      <c r="H31" s="65" t="e">
        <f t="shared" si="5"/>
        <v>#DIV/0!</v>
      </c>
      <c r="I31" s="61">
        <f t="shared" si="3"/>
        <v>-66451.582717077414</v>
      </c>
      <c r="J31" s="65">
        <f t="shared" si="4"/>
        <v>-5381.4035826877926</v>
      </c>
    </row>
    <row r="32" spans="1:10">
      <c r="F32" t="e">
        <f t="shared" si="0"/>
        <v>#VALUE!</v>
      </c>
      <c r="G32" s="61" t="e">
        <f t="shared" si="2"/>
        <v>#REF!</v>
      </c>
      <c r="H32" s="65" t="e">
        <f t="shared" si="5"/>
        <v>#DIV/0!</v>
      </c>
      <c r="I32" s="61">
        <f t="shared" si="3"/>
        <v>-71940.614371418967</v>
      </c>
      <c r="J32" s="65">
        <f t="shared" si="4"/>
        <v>-5489.0316543415483</v>
      </c>
    </row>
    <row r="33" spans="6:10">
      <c r="F33" t="e">
        <f t="shared" si="0"/>
        <v>#VALUE!</v>
      </c>
      <c r="G33" s="61" t="e">
        <f t="shared" si="2"/>
        <v>#REF!</v>
      </c>
      <c r="H33" s="65" t="e">
        <f t="shared" si="5"/>
        <v>#DIV/0!</v>
      </c>
      <c r="I33" s="61">
        <f t="shared" si="3"/>
        <v>-77539.42665884734</v>
      </c>
      <c r="J33" s="65">
        <f t="shared" si="4"/>
        <v>-5598.812287428379</v>
      </c>
    </row>
    <row r="34" spans="6:10">
      <c r="F34" t="e">
        <f t="shared" si="0"/>
        <v>#VALUE!</v>
      </c>
      <c r="G34" s="61" t="e">
        <f t="shared" si="2"/>
        <v>#REF!</v>
      </c>
      <c r="H34" s="65" t="e">
        <f t="shared" si="5"/>
        <v>#DIV/0!</v>
      </c>
      <c r="I34" s="61">
        <f t="shared" si="3"/>
        <v>-83250.21519202429</v>
      </c>
      <c r="J34" s="65">
        <f t="shared" si="4"/>
        <v>-5710.7885331769467</v>
      </c>
    </row>
    <row r="35" spans="6:10">
      <c r="F35" t="e">
        <f t="shared" si="0"/>
        <v>#VALUE!</v>
      </c>
      <c r="G35" s="61" t="e">
        <f t="shared" si="2"/>
        <v>#REF!</v>
      </c>
      <c r="H35" s="65" t="e">
        <f t="shared" si="5"/>
        <v>#DIV/0!</v>
      </c>
      <c r="I35" s="61">
        <f t="shared" si="3"/>
        <v>-89075.219495864774</v>
      </c>
      <c r="J35" s="65">
        <f t="shared" si="4"/>
        <v>-5825.0043038404856</v>
      </c>
    </row>
    <row r="36" spans="6:10">
      <c r="F36" t="e">
        <f t="shared" si="0"/>
        <v>#VALUE!</v>
      </c>
      <c r="G36" s="61" t="e">
        <f t="shared" si="2"/>
        <v>#REF!</v>
      </c>
      <c r="H36" s="65" t="e">
        <f t="shared" si="5"/>
        <v>#DIV/0!</v>
      </c>
      <c r="I36" s="61">
        <f t="shared" si="3"/>
        <v>-95016.723885782063</v>
      </c>
      <c r="J36" s="65">
        <f t="shared" si="4"/>
        <v>-5941.5043899172952</v>
      </c>
    </row>
    <row r="37" spans="6:10">
      <c r="F37" t="e">
        <f t="shared" si="0"/>
        <v>#VALUE!</v>
      </c>
      <c r="G37" s="61" t="e">
        <f t="shared" si="2"/>
        <v>#REF!</v>
      </c>
      <c r="H37" s="65" t="e">
        <f t="shared" si="5"/>
        <v>#DIV/0!</v>
      </c>
      <c r="I37" s="61">
        <f t="shared" si="3"/>
        <v>-101077.05836349771</v>
      </c>
      <c r="J37" s="65">
        <f t="shared" si="4"/>
        <v>-6060.3344777156408</v>
      </c>
    </row>
    <row r="38" spans="6:10">
      <c r="F38" t="e">
        <f t="shared" si="0"/>
        <v>#VALUE!</v>
      </c>
      <c r="G38" s="61" t="e">
        <f t="shared" si="2"/>
        <v>#REF!</v>
      </c>
      <c r="H38" s="65" t="e">
        <f t="shared" si="5"/>
        <v>#DIV/0!</v>
      </c>
      <c r="I38" s="61">
        <f t="shared" si="3"/>
        <v>-107258.59953076766</v>
      </c>
      <c r="J38" s="65">
        <f t="shared" si="4"/>
        <v>-6181.5411672699538</v>
      </c>
    </row>
    <row r="39" spans="6:10">
      <c r="F39" t="e">
        <f t="shared" si="0"/>
        <v>#VALUE!</v>
      </c>
      <c r="G39" s="61" t="e">
        <f t="shared" si="2"/>
        <v>#REF!</v>
      </c>
      <c r="H39" s="65" t="e">
        <f t="shared" si="5"/>
        <v>#DIV/0!</v>
      </c>
      <c r="I39" s="61">
        <f t="shared" si="3"/>
        <v>-113563.77152138302</v>
      </c>
      <c r="J39" s="65">
        <f t="shared" si="4"/>
        <v>-6305.171990615353</v>
      </c>
    </row>
    <row r="40" spans="6:10">
      <c r="F40" t="e">
        <f t="shared" si="0"/>
        <v>#VALUE!</v>
      </c>
      <c r="G40" s="61" t="e">
        <f t="shared" si="2"/>
        <v>#REF!</v>
      </c>
      <c r="H40" s="65" t="e">
        <f t="shared" si="5"/>
        <v>#DIV/0!</v>
      </c>
      <c r="I40" s="61">
        <f t="shared" si="3"/>
        <v>-119995.04695181068</v>
      </c>
      <c r="J40" s="65">
        <f t="shared" si="4"/>
        <v>-6431.2754304276605</v>
      </c>
    </row>
    <row r="41" spans="6:10">
      <c r="F41" t="e">
        <f t="shared" si="0"/>
        <v>#VALUE!</v>
      </c>
      <c r="G41" s="61" t="e">
        <f t="shared" si="2"/>
        <v>#REF!</v>
      </c>
      <c r="H41" s="65" t="e">
        <f t="shared" si="5"/>
        <v>#DIV/0!</v>
      </c>
      <c r="I41" s="61">
        <f t="shared" si="3"/>
        <v>-126554.9478908469</v>
      </c>
      <c r="J41" s="65">
        <f t="shared" si="4"/>
        <v>-6559.9009390362135</v>
      </c>
    </row>
    <row r="42" spans="6:10">
      <c r="F42" t="e">
        <f t="shared" si="0"/>
        <v>#VALUE!</v>
      </c>
      <c r="G42" s="61" t="e">
        <f t="shared" si="2"/>
        <v>#REF!</v>
      </c>
      <c r="H42" s="65" t="e">
        <f t="shared" si="5"/>
        <v>#DIV/0!</v>
      </c>
      <c r="I42" s="61">
        <f t="shared" si="3"/>
        <v>-133246.04684866383</v>
      </c>
      <c r="J42" s="65">
        <f t="shared" si="4"/>
        <v>-6691.0989578169374</v>
      </c>
    </row>
    <row r="43" spans="6:10">
      <c r="F43" t="e">
        <f t="shared" si="0"/>
        <v>#VALUE!</v>
      </c>
      <c r="G43" s="66" t="e">
        <f t="shared" si="2"/>
        <v>#REF!</v>
      </c>
      <c r="H43" s="67" t="e">
        <f t="shared" si="5"/>
        <v>#DIV/0!</v>
      </c>
      <c r="I43" s="66">
        <f t="shared" si="3"/>
        <v>-140070.9677856371</v>
      </c>
      <c r="J43" s="67">
        <f t="shared" si="4"/>
        <v>-6824.9209369732762</v>
      </c>
    </row>
  </sheetData>
  <mergeCells count="5">
    <mergeCell ref="G15:J15"/>
    <mergeCell ref="B15:D15"/>
    <mergeCell ref="C17:C18"/>
    <mergeCell ref="D17:D18"/>
    <mergeCell ref="B17:B18"/>
  </mergeCells>
  <phoneticPr fontId="0" type="noConversion"/>
  <printOptions horizontalCentered="1" verticalCentered="1"/>
  <pageMargins left="0.23" right="0.28999999999999998" top="0.25" bottom="0.46" header="0.5" footer="0.5"/>
  <pageSetup scale="57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Customer Info</vt:lpstr>
      <vt:lpstr>Pricing Calculator</vt:lpstr>
      <vt:lpstr>Energy Usage</vt:lpstr>
      <vt:lpstr>Financial Analysis</vt:lpstr>
      <vt:lpstr>'Energy Usage'!Print_Area</vt:lpstr>
      <vt:lpstr>'Pricing Calculator'!Print_Area</vt:lpstr>
    </vt:vector>
  </TitlesOfParts>
  <Company>Trumark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Joseph Yakligian</cp:lastModifiedBy>
  <cp:lastPrinted>2015-07-07T23:03:40Z</cp:lastPrinted>
  <dcterms:created xsi:type="dcterms:W3CDTF">2009-02-21T01:25:05Z</dcterms:created>
  <dcterms:modified xsi:type="dcterms:W3CDTF">2026-07-26T22:31:31Z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bf45413-c592-4179-8f81-f1dad434ddf0_Enabled">
    <vt:lpwstr>true</vt:lpwstr>
  </property>
  <property fmtid="{D5CDD505-2E9C-101B-9397-08002B2CF9AE}" pid="3" name="MSIP_Label_1bf45413-c592-4179-8f81-f1dad434ddf0_SetDate">
    <vt:lpwstr>2026-07-26T22:31:31Z</vt:lpwstr>
  </property>
  <property fmtid="{D5CDD505-2E9C-101B-9397-08002B2CF9AE}" pid="4" name="MSIP_Label_1bf45413-c592-4179-8f81-f1dad434ddf0_Method">
    <vt:lpwstr>Standard</vt:lpwstr>
  </property>
  <property fmtid="{D5CDD505-2E9C-101B-9397-08002B2CF9AE}" pid="5" name="MSIP_Label_1bf45413-c592-4179-8f81-f1dad434ddf0_Name">
    <vt:lpwstr>defa4170-0d19-0005-0004-bc88714345d2</vt:lpwstr>
  </property>
  <property fmtid="{D5CDD505-2E9C-101B-9397-08002B2CF9AE}" pid="6" name="MSIP_Label_1bf45413-c592-4179-8f81-f1dad434ddf0_SiteId">
    <vt:lpwstr>ae8eae2d-c0f6-4368-9e90-2c0bda55e80e</vt:lpwstr>
  </property>
  <property fmtid="{D5CDD505-2E9C-101B-9397-08002B2CF9AE}" pid="7" name="MSIP_Label_1bf45413-c592-4179-8f81-f1dad434ddf0_ActionId">
    <vt:lpwstr>8cc7eb60-3026-4427-8f79-b1d966e30b2c</vt:lpwstr>
  </property>
  <property fmtid="{D5CDD505-2E9C-101B-9397-08002B2CF9AE}" pid="8" name="MSIP_Label_1bf45413-c592-4179-8f81-f1dad434ddf0_ContentBits">
    <vt:lpwstr>0</vt:lpwstr>
  </property>
  <property fmtid="{D5CDD505-2E9C-101B-9397-08002B2CF9AE}" pid="9" name="MSIP_Label_1bf45413-c592-4179-8f81-f1dad434ddf0_Tag">
    <vt:lpwstr>10, 3, 0, 1</vt:lpwstr>
  </property>
</Properties>
</file>