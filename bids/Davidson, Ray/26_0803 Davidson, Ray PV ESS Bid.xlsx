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ph\Desktop\Code\MSSProposalAutomation\projects\3391894\documents\"/>
    </mc:Choice>
  </mc:AlternateContent>
  <xr:revisionPtr revIDLastSave="0" documentId="13_ncr:1_{6BC3B2C2-D6F7-4BF9-A6DF-E5DCDF5F70E0}" xr6:coauthVersionLast="47" xr6:coauthVersionMax="47" xr10:uidLastSave="{00000000-0000-0000-0000-000000000000}"/>
  <bookViews>
    <workbookView xWindow="343" yWindow="3317" windowWidth="15514" windowHeight="10740" activeTab="1" xr2:uid="{00000000-000D-0000-FFFF-FFFF00000000}"/>
  </bookViews>
  <sheets>
    <sheet name="Customer Info" sheetId="1" r:id="rId1"/>
    <sheet name="Pricing Calculator" sheetId="2" r:id="rId2"/>
  </sheets>
  <definedNames>
    <definedName name="_xlnm.Print_Area" localSheetId="1">'Pricing Calculator'!$A$1:$M$103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5" i="2" l="1"/>
  <c r="E84" i="2"/>
  <c r="E83" i="2"/>
  <c r="E77" i="2"/>
  <c r="D76" i="2"/>
  <c r="E76" i="2" s="1"/>
  <c r="D70" i="2"/>
  <c r="E70" i="2" s="1"/>
  <c r="A70" i="2"/>
  <c r="A62" i="2"/>
  <c r="D61" i="2"/>
  <c r="E61" i="2" s="1"/>
  <c r="E60" i="2"/>
  <c r="D60" i="2"/>
  <c r="D59" i="2"/>
  <c r="E59" i="2" s="1"/>
  <c r="C58" i="2"/>
  <c r="D58" i="2" s="1"/>
  <c r="D57" i="2"/>
  <c r="E57" i="2" s="1"/>
  <c r="D54" i="2"/>
  <c r="E54" i="2" s="1"/>
  <c r="A51" i="2"/>
  <c r="D50" i="2"/>
  <c r="E50" i="2" s="1"/>
  <c r="D49" i="2"/>
  <c r="E49" i="2" s="1"/>
  <c r="B48" i="2"/>
  <c r="D48" i="2" s="1"/>
  <c r="E48" i="2" s="1"/>
  <c r="D47" i="2"/>
  <c r="E47" i="2" s="1"/>
  <c r="C46" i="2"/>
  <c r="D46" i="2" s="1"/>
  <c r="D45" i="2"/>
  <c r="E45" i="2" s="1"/>
  <c r="A42" i="2"/>
  <c r="C41" i="2"/>
  <c r="D41" i="2" s="1"/>
  <c r="E41" i="2" s="1"/>
  <c r="D40" i="2"/>
  <c r="D39" i="2"/>
  <c r="E39" i="2" s="1"/>
  <c r="D38" i="2"/>
  <c r="E38" i="2" s="1"/>
  <c r="C37" i="2"/>
  <c r="D37" i="2" s="1"/>
  <c r="A34" i="2"/>
  <c r="B33" i="2"/>
  <c r="D33" i="2" s="1"/>
  <c r="B26" i="2"/>
  <c r="B23" i="2"/>
  <c r="B22" i="2"/>
  <c r="B19" i="2"/>
  <c r="C20" i="2" s="1"/>
  <c r="F17" i="2"/>
  <c r="G17" i="2" s="1"/>
  <c r="C17" i="2"/>
  <c r="F16" i="2"/>
  <c r="G16" i="2" s="1"/>
  <c r="D81" i="2" s="1"/>
  <c r="F15" i="2"/>
  <c r="G15" i="2" s="1"/>
  <c r="F14" i="2"/>
  <c r="G14" i="2" s="1"/>
  <c r="C14" i="2"/>
  <c r="F13" i="2"/>
  <c r="F12" i="2"/>
  <c r="G12" i="2" s="1"/>
  <c r="B7" i="2"/>
  <c r="A1" i="2"/>
  <c r="E58" i="2" l="1"/>
  <c r="D62" i="2"/>
  <c r="E62" i="2" s="1"/>
  <c r="E46" i="2"/>
  <c r="D51" i="2"/>
  <c r="E51" i="2" s="1"/>
  <c r="E37" i="2"/>
  <c r="D42" i="2"/>
  <c r="E42" i="2" s="1"/>
  <c r="E33" i="2"/>
  <c r="D73" i="2"/>
  <c r="E73" i="2" s="1"/>
  <c r="E75" i="2"/>
  <c r="E69" i="2"/>
  <c r="E32" i="2"/>
  <c r="E65" i="2"/>
  <c r="E56" i="2"/>
  <c r="E55" i="2"/>
  <c r="E66" i="2"/>
  <c r="E67" i="2"/>
  <c r="B25" i="2"/>
  <c r="E40" i="2"/>
  <c r="E68" i="2"/>
  <c r="E82" i="2"/>
  <c r="E81" i="2"/>
  <c r="D86" i="2"/>
  <c r="G13" i="2"/>
  <c r="D31" i="2" s="1"/>
  <c r="E13" i="2"/>
  <c r="D72" i="2"/>
  <c r="E86" i="2" l="1"/>
  <c r="E72" i="2"/>
  <c r="D74" i="2"/>
  <c r="E31" i="2"/>
  <c r="E34" i="2" s="1"/>
  <c r="D34" i="2"/>
  <c r="E92" i="2" l="1"/>
  <c r="F92" i="2"/>
  <c r="H92" i="2" s="1"/>
  <c r="G92" i="2"/>
  <c r="D99" i="2"/>
  <c r="E74" i="2"/>
  <c r="D78" i="2"/>
  <c r="D88" i="2" l="1"/>
  <c r="E78" i="2"/>
  <c r="E91" i="2" l="1"/>
  <c r="F91" i="2"/>
  <c r="H91" i="2" s="1"/>
  <c r="G91" i="2"/>
  <c r="D93" i="2"/>
  <c r="D98" i="2"/>
  <c r="D100" i="2" s="1"/>
  <c r="G93" i="2" l="1"/>
  <c r="F93" i="2"/>
  <c r="H93" i="2" s="1"/>
</calcChain>
</file>

<file path=xl/sharedStrings.xml><?xml version="1.0" encoding="utf-8"?>
<sst xmlns="http://schemas.openxmlformats.org/spreadsheetml/2006/main" count="163" uniqueCount="127">
  <si>
    <t>System Details</t>
  </si>
  <si>
    <t>Main Panel Amperage</t>
  </si>
  <si>
    <t>Main Breaker Amperage</t>
  </si>
  <si>
    <t>Main Panel Bus Bar Rating</t>
  </si>
  <si>
    <t>Max PV Breaker (120% Rule)</t>
  </si>
  <si>
    <t>Roof Type</t>
  </si>
  <si>
    <t>Composition Shingle</t>
  </si>
  <si>
    <t>Tree Trimming Required</t>
  </si>
  <si>
    <t>MODEL</t>
  </si>
  <si>
    <t>QUANTITY</t>
  </si>
  <si>
    <t>SIZE</t>
  </si>
  <si>
    <t>COST/WATT</t>
  </si>
  <si>
    <t>COST/UNIT</t>
  </si>
  <si>
    <t>TOTAL</t>
  </si>
  <si>
    <t>Modules</t>
  </si>
  <si>
    <t>MSX10-435HN0B</t>
  </si>
  <si>
    <t>Inverter</t>
  </si>
  <si>
    <t>IQ8AC</t>
  </si>
  <si>
    <t>Mounting Hardware</t>
  </si>
  <si>
    <t>FlashFoot 2</t>
  </si>
  <si>
    <t>Gateway</t>
  </si>
  <si>
    <t>IQ Combiner 5</t>
  </si>
  <si>
    <t>Battery</t>
  </si>
  <si>
    <t>IQ10C</t>
  </si>
  <si>
    <t>Off-Grid</t>
  </si>
  <si>
    <t>Grid-Tied</t>
  </si>
  <si>
    <t>Panel Wattage</t>
  </si>
  <si>
    <t>Panel Wattage (CEC)</t>
  </si>
  <si>
    <t>405.6</t>
  </si>
  <si>
    <t>Inverter Efficiency</t>
  </si>
  <si>
    <t>System Wattage (DC)</t>
  </si>
  <si>
    <t>CEC-AC Wattage</t>
  </si>
  <si>
    <t>kWh / kW / Year</t>
  </si>
  <si>
    <t>(@ 180°)</t>
  </si>
  <si>
    <t>Estimated Annual Production</t>
  </si>
  <si>
    <t>ESS Capacity</t>
  </si>
  <si>
    <t>JOB COST</t>
  </si>
  <si>
    <t>SALES TAX</t>
  </si>
  <si>
    <t>TOTAL COST</t>
  </si>
  <si>
    <t>TYPE</t>
  </si>
  <si>
    <t>Rate</t>
  </si>
  <si>
    <t>PV System</t>
  </si>
  <si>
    <t>Total PV Equipment</t>
  </si>
  <si>
    <t>Equipment</t>
  </si>
  <si>
    <t>LABOR</t>
  </si>
  <si>
    <t>Additional Mounting Hardware</t>
  </si>
  <si>
    <t>Crew Size</t>
  </si>
  <si>
    <t>MSS Installation Labor</t>
  </si>
  <si>
    <t>Labor</t>
  </si>
  <si>
    <t>Inspection Time</t>
  </si>
  <si>
    <t>Hours / Day</t>
  </si>
  <si>
    <t>Job Days</t>
  </si>
  <si>
    <t>Ground Rack</t>
  </si>
  <si>
    <t>Rack Pipe</t>
  </si>
  <si>
    <t>ELECTRICAL</t>
  </si>
  <si>
    <t>Concrete</t>
  </si>
  <si>
    <t>Conductors</t>
  </si>
  <si>
    <t>Concrete Pump</t>
  </si>
  <si>
    <t>Rack Equipment Rental</t>
  </si>
  <si>
    <t>Rack Labor</t>
  </si>
  <si>
    <t>Electrical</t>
  </si>
  <si>
    <t>Trenching Equip Rental (days)</t>
  </si>
  <si>
    <t>Trenching Labor (20ft/hr)</t>
  </si>
  <si>
    <t>Conduit (ft)</t>
  </si>
  <si>
    <t>Wire (ft)</t>
  </si>
  <si>
    <t>Breakers, SolaDeck, Disconnects, etc.</t>
  </si>
  <si>
    <t>Browning Electric</t>
  </si>
  <si>
    <t>Paperwork &amp; Approvals</t>
  </si>
  <si>
    <t>Permits Labor</t>
  </si>
  <si>
    <t>Permit Fees</t>
  </si>
  <si>
    <t>Application Cost</t>
  </si>
  <si>
    <t>Application Labor</t>
  </si>
  <si>
    <t>Electrical Engineering</t>
  </si>
  <si>
    <t>Structural Engineering</t>
  </si>
  <si>
    <t>Drafting Charges Andy</t>
  </si>
  <si>
    <t>Drafting Labor MSS</t>
  </si>
  <si>
    <t>Miscellaneous</t>
  </si>
  <si>
    <t>Extra Travel</t>
  </si>
  <si>
    <t>Warranty</t>
  </si>
  <si>
    <t>Safety</t>
  </si>
  <si>
    <t>Miscellaneous Equipment</t>
  </si>
  <si>
    <t>Miscellaneous Labor</t>
  </si>
  <si>
    <t>Total Equipment</t>
  </si>
  <si>
    <t>Total Labor</t>
  </si>
  <si>
    <t>Referral</t>
  </si>
  <si>
    <t>Cost of Sale</t>
  </si>
  <si>
    <t>Financing Fees</t>
  </si>
  <si>
    <t>Overhead</t>
  </si>
  <si>
    <t>TOTAL PV COST</t>
  </si>
  <si>
    <t>ESS System</t>
  </si>
  <si>
    <t>Total ESS Equipment</t>
  </si>
  <si>
    <t>Installation Labor MSS (hrs)</t>
  </si>
  <si>
    <t>TOTAL ESS COST</t>
  </si>
  <si>
    <t>TOTAL JOB COST</t>
  </si>
  <si>
    <t>Gross Margin</t>
  </si>
  <si>
    <t>ESTIMATED SALE PRICE</t>
  </si>
  <si>
    <t>Total Price</t>
  </si>
  <si>
    <t>Amount</t>
  </si>
  <si>
    <t>On Cost</t>
  </si>
  <si>
    <t>On Price</t>
  </si>
  <si>
    <t>PV System Price</t>
  </si>
  <si>
    <t>ESS System Price</t>
  </si>
  <si>
    <t>Total Sale Price</t>
  </si>
  <si>
    <t>LOAN DETAILS</t>
  </si>
  <si>
    <t>Loan Term</t>
  </si>
  <si>
    <t>Interest Rate</t>
  </si>
  <si>
    <t>Monthly Payment (PV)</t>
  </si>
  <si>
    <t>Monthly Payment (ESS)</t>
  </si>
  <si>
    <t>Total Monthly Payment</t>
  </si>
  <si>
    <t xml:space="preserve">  </t>
  </si>
  <si>
    <t>Job Name</t>
  </si>
  <si>
    <t>RAY DAVIDSON</t>
  </si>
  <si>
    <t>Name</t>
  </si>
  <si>
    <t>Ray Davidson</t>
  </si>
  <si>
    <t>Address</t>
  </si>
  <si>
    <t>1839 Doak Blvd</t>
  </si>
  <si>
    <t>City</t>
  </si>
  <si>
    <t>Ripon</t>
  </si>
  <si>
    <t>Zip</t>
  </si>
  <si>
    <t>Phone 1</t>
  </si>
  <si>
    <t>Phone 2</t>
  </si>
  <si>
    <t>Email 1</t>
  </si>
  <si>
    <t>ray.tvl@gmail.com</t>
  </si>
  <si>
    <t>Email 2</t>
  </si>
  <si>
    <t>Acct</t>
  </si>
  <si>
    <t>PG&amp;E</t>
  </si>
  <si>
    <t>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</si>
</sst>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"/>
    <numFmt numFmtId="166" formatCode="_(&quot;$&quot;* #,##0.0000_);_(&quot;$&quot;* \(#,##0.0000\);_(&quot;$&quot;* &quot;-&quot;??_);_(@_)"/>
    <numFmt numFmtId="167" formatCode="0.0%"/>
    <numFmt numFmtId="168" formatCode="0\ &quot;W&quot;"/>
    <numFmt numFmtId="169" formatCode="0\ &quot;A&quot;"/>
    <numFmt numFmtId="170" formatCode="0\ &quot;hrs&quot;"/>
    <numFmt numFmtId="171" formatCode="0\ &quot;yds&quot;"/>
    <numFmt numFmtId="172" formatCode="0\ &quot;ft&quot;"/>
    <numFmt numFmtId="173" formatCode="0\ &quot;days&quot;"/>
    <numFmt numFmtId="174" formatCode="0.000%"/>
    <numFmt numFmtId="175" formatCode="#,##0\ &quot;W&quot;"/>
    <numFmt numFmtId="176" formatCode="#,##0\ &quot;kWh&quot;"/>
    <numFmt numFmtId="177" formatCode="0\ &quot;kWh&quot;"/>
    <numFmt numFmtId="178" formatCode="0\ &quot;trips&quot;"/>
  </numFmts>
  <fonts count="2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u/>
      <sz val="10"/>
      <color indexed="12"/>
      <name val="Arial"/>
      <family val="2"/>
    </font>
    <font>
      <u val="singleAccounting"/>
      <sz val="10"/>
      <name val="Arial"/>
      <family val="2"/>
    </font>
    <font>
      <i/>
      <sz val="8"/>
      <name val="Arial"/>
      <family val="2"/>
    </font>
    <font>
      <b/>
      <i/>
      <u/>
      <sz val="10"/>
      <name val="Arial"/>
      <family val="2"/>
    </font>
    <font>
      <sz val="12"/>
      <name val="Trajan Pro"/>
      <family val="1"/>
    </font>
    <font>
      <sz val="6"/>
      <name val="Trajan Pro"/>
      <family val="1"/>
    </font>
    <font>
      <b/>
      <sz val="14"/>
      <name val="Trajan Pro"/>
      <family val="1"/>
    </font>
    <font>
      <b/>
      <sz val="12"/>
      <name val="Trajan Pro"/>
      <family val="1"/>
    </font>
    <font>
      <sz val="10"/>
      <name val="Trajan Pro"/>
      <family val="1"/>
    </font>
    <font>
      <sz val="12"/>
      <name val="Calibri"/>
      <family val="2"/>
    </font>
    <font>
      <sz val="10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u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i/>
      <sz val="10"/>
      <color theme="0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43" fontId="17" fillId="0" borderId="0"/>
    <xf numFmtId="43" fontId="17" fillId="0" borderId="0"/>
    <xf numFmtId="43" fontId="17" fillId="0" borderId="0"/>
    <xf numFmtId="43" fontId="17" fillId="0" borderId="0"/>
    <xf numFmtId="44" fontId="18" fillId="0" borderId="0"/>
    <xf numFmtId="44" fontId="17" fillId="0" borderId="0"/>
    <xf numFmtId="44" fontId="17" fillId="0" borderId="0"/>
    <xf numFmtId="44" fontId="17" fillId="0" borderId="0"/>
    <xf numFmtId="44" fontId="17" fillId="0" borderId="0"/>
    <xf numFmtId="0" fontId="7" fillId="0" borderId="0">
      <alignment vertical="top"/>
      <protection locked="0"/>
    </xf>
    <xf numFmtId="0" fontId="17" fillId="0" borderId="0"/>
    <xf numFmtId="0" fontId="19" fillId="0" borderId="0"/>
    <xf numFmtId="9" fontId="18" fillId="0" borderId="0"/>
    <xf numFmtId="9" fontId="17" fillId="0" borderId="0"/>
    <xf numFmtId="9" fontId="17" fillId="0" borderId="0"/>
    <xf numFmtId="9" fontId="17" fillId="0" borderId="0"/>
    <xf numFmtId="9" fontId="17" fillId="0" borderId="0"/>
    <xf numFmtId="9" fontId="18" fillId="0" borderId="0"/>
    <xf numFmtId="0" fontId="19" fillId="0" borderId="0"/>
    <xf numFmtId="9" fontId="17" fillId="0" borderId="0"/>
  </cellStyleXfs>
  <cellXfs count="1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3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4" fontId="5" fillId="0" borderId="0" xfId="0" applyNumberFormat="1" applyFont="1"/>
    <xf numFmtId="0" fontId="5" fillId="0" borderId="0" xfId="0" applyFont="1" applyAlignment="1">
      <alignment horizontal="right"/>
    </xf>
    <xf numFmtId="0" fontId="6" fillId="0" borderId="0" xfId="0" applyFont="1"/>
    <xf numFmtId="44" fontId="6" fillId="0" borderId="0" xfId="0" applyNumberFormat="1" applyFont="1"/>
    <xf numFmtId="0" fontId="2" fillId="0" borderId="1" xfId="0" applyFont="1" applyBorder="1"/>
    <xf numFmtId="0" fontId="5" fillId="0" borderId="3" xfId="0" applyFont="1" applyBorder="1"/>
    <xf numFmtId="0" fontId="5" fillId="0" borderId="4" xfId="0" applyFont="1" applyBorder="1"/>
    <xf numFmtId="164" fontId="5" fillId="0" borderId="0" xfId="0" applyNumberFormat="1" applyFont="1"/>
    <xf numFmtId="0" fontId="5" fillId="0" borderId="5" xfId="0" applyFont="1" applyBorder="1"/>
    <xf numFmtId="0" fontId="5" fillId="0" borderId="7" xfId="0" applyFont="1" applyBorder="1"/>
    <xf numFmtId="0" fontId="10" fillId="0" borderId="0" xfId="0" applyFont="1"/>
    <xf numFmtId="44" fontId="2" fillId="0" borderId="0" xfId="0" applyNumberFormat="1" applyFont="1"/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5" fontId="11" fillId="0" borderId="0" xfId="0" applyNumberFormat="1" applyFont="1" applyAlignment="1">
      <alignment horizontal="center" vertical="center"/>
    </xf>
    <xf numFmtId="44" fontId="8" fillId="0" borderId="0" xfId="6" applyFont="1" applyAlignment="1">
      <alignment horizontal="center"/>
    </xf>
    <xf numFmtId="0" fontId="15" fillId="0" borderId="0" xfId="0" applyFont="1" applyAlignment="1">
      <alignment horizontal="center" vertical="center"/>
    </xf>
    <xf numFmtId="6" fontId="15" fillId="0" borderId="0" xfId="0" applyNumberFormat="1" applyFont="1" applyAlignment="1">
      <alignment horizontal="center" vertical="center"/>
    </xf>
    <xf numFmtId="0" fontId="7" fillId="0" borderId="0" xfId="10" applyAlignment="1" applyProtection="1"/>
    <xf numFmtId="0" fontId="16" fillId="0" borderId="0" xfId="0" applyFont="1" applyAlignment="1">
      <alignment vertical="center"/>
    </xf>
    <xf numFmtId="3" fontId="2" fillId="0" borderId="0" xfId="0" applyNumberFormat="1" applyFont="1" applyAlignment="1">
      <alignment horizontal="center"/>
    </xf>
    <xf numFmtId="0" fontId="1" fillId="0" borderId="0" xfId="0" applyFont="1"/>
    <xf numFmtId="0" fontId="20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quotePrefix="1" applyFont="1"/>
    <xf numFmtId="44" fontId="5" fillId="0" borderId="0" xfId="9" applyFont="1" applyAlignment="1">
      <alignment horizontal="center"/>
    </xf>
    <xf numFmtId="44" fontId="5" fillId="0" borderId="0" xfId="9" applyFont="1" applyAlignment="1">
      <alignment horizontal="left"/>
    </xf>
    <xf numFmtId="3" fontId="5" fillId="0" borderId="0" xfId="4" applyNumberFormat="1" applyFont="1" applyAlignment="1">
      <alignment horizontal="center"/>
    </xf>
    <xf numFmtId="44" fontId="8" fillId="0" borderId="0" xfId="9" applyFont="1" applyAlignment="1">
      <alignment horizontal="center"/>
    </xf>
    <xf numFmtId="44" fontId="5" fillId="2" borderId="0" xfId="9" applyFont="1" applyFill="1" applyAlignment="1">
      <alignment horizontal="center"/>
    </xf>
    <xf numFmtId="44" fontId="5" fillId="0" borderId="0" xfId="9" applyFont="1"/>
    <xf numFmtId="37" fontId="5" fillId="0" borderId="0" xfId="9" applyNumberFormat="1" applyFont="1" applyAlignment="1">
      <alignment horizontal="center"/>
    </xf>
    <xf numFmtId="166" fontId="5" fillId="0" borderId="0" xfId="9" applyNumberFormat="1" applyFont="1" applyAlignment="1">
      <alignment horizontal="center"/>
    </xf>
    <xf numFmtId="9" fontId="5" fillId="0" borderId="0" xfId="17" applyFont="1" applyAlignment="1">
      <alignment horizontal="center"/>
    </xf>
    <xf numFmtId="167" fontId="5" fillId="0" borderId="0" xfId="17" applyNumberFormat="1" applyFont="1" applyAlignment="1">
      <alignment horizontal="center"/>
    </xf>
    <xf numFmtId="44" fontId="4" fillId="0" borderId="0" xfId="9" applyFont="1" applyAlignment="1">
      <alignment horizontal="center"/>
    </xf>
    <xf numFmtId="44" fontId="5" fillId="0" borderId="0" xfId="6" applyFont="1" applyAlignment="1">
      <alignment horizontal="center"/>
    </xf>
    <xf numFmtId="44" fontId="5" fillId="3" borderId="0" xfId="9" applyFont="1" applyFill="1" applyAlignment="1">
      <alignment horizontal="center"/>
    </xf>
    <xf numFmtId="44" fontId="2" fillId="0" borderId="0" xfId="9" applyFont="1" applyAlignment="1">
      <alignment horizontal="center"/>
    </xf>
    <xf numFmtId="9" fontId="5" fillId="2" borderId="0" xfId="9" applyNumberFormat="1" applyFont="1" applyFill="1" applyAlignment="1">
      <alignment horizontal="center"/>
    </xf>
    <xf numFmtId="44" fontId="5" fillId="0" borderId="0" xfId="9" applyFont="1" applyAlignment="1">
      <alignment horizontal="right"/>
    </xf>
    <xf numFmtId="44" fontId="2" fillId="0" borderId="8" xfId="9" applyFont="1" applyBorder="1" applyAlignment="1">
      <alignment horizontal="center"/>
    </xf>
    <xf numFmtId="9" fontId="5" fillId="0" borderId="0" xfId="17" applyFont="1"/>
    <xf numFmtId="1" fontId="5" fillId="0" borderId="0" xfId="9" applyNumberFormat="1" applyFont="1" applyAlignment="1">
      <alignment horizontal="right"/>
    </xf>
    <xf numFmtId="44" fontId="5" fillId="4" borderId="0" xfId="9" applyFont="1" applyFill="1" applyAlignment="1">
      <alignment horizontal="center"/>
    </xf>
    <xf numFmtId="44" fontId="5" fillId="4" borderId="0" xfId="0" applyNumberFormat="1" applyFont="1" applyFill="1"/>
    <xf numFmtId="0" fontId="5" fillId="4" borderId="0" xfId="0" applyFont="1" applyFill="1" applyAlignment="1">
      <alignment horizontal="center"/>
    </xf>
    <xf numFmtId="9" fontId="5" fillId="0" borderId="0" xfId="13" applyFont="1" applyAlignment="1">
      <alignment horizontal="center"/>
    </xf>
    <xf numFmtId="44" fontId="5" fillId="0" borderId="0" xfId="6" applyFont="1"/>
    <xf numFmtId="3" fontId="5" fillId="4" borderId="0" xfId="0" applyNumberFormat="1" applyFont="1" applyFill="1" applyAlignment="1">
      <alignment horizontal="center"/>
    </xf>
    <xf numFmtId="9" fontId="5" fillId="2" borderId="0" xfId="17" applyFont="1" applyFill="1" applyAlignment="1">
      <alignment horizontal="center"/>
    </xf>
    <xf numFmtId="44" fontId="5" fillId="0" borderId="0" xfId="5" applyFont="1" applyAlignment="1">
      <alignment horizontal="center"/>
    </xf>
    <xf numFmtId="44" fontId="5" fillId="0" borderId="0" xfId="0" applyNumberFormat="1" applyFont="1" applyAlignment="1">
      <alignment horizontal="right"/>
    </xf>
    <xf numFmtId="44" fontId="5" fillId="5" borderId="0" xfId="9" applyFont="1" applyFill="1" applyAlignment="1">
      <alignment horizontal="center"/>
    </xf>
    <xf numFmtId="168" fontId="5" fillId="4" borderId="0" xfId="0" applyNumberFormat="1" applyFont="1" applyFill="1" applyAlignment="1">
      <alignment horizontal="center"/>
    </xf>
    <xf numFmtId="169" fontId="5" fillId="0" borderId="0" xfId="0" applyNumberFormat="1" applyFont="1" applyAlignment="1">
      <alignment horizontal="center"/>
    </xf>
    <xf numFmtId="169" fontId="5" fillId="2" borderId="0" xfId="0" applyNumberFormat="1" applyFont="1" applyFill="1" applyAlignment="1">
      <alignment horizontal="center"/>
    </xf>
    <xf numFmtId="170" fontId="5" fillId="2" borderId="0" xfId="0" applyNumberFormat="1" applyFont="1" applyFill="1" applyAlignment="1">
      <alignment horizontal="center"/>
    </xf>
    <xf numFmtId="44" fontId="5" fillId="4" borderId="0" xfId="5" applyFont="1" applyFill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44" fontId="6" fillId="0" borderId="7" xfId="9" applyFont="1" applyBorder="1" applyAlignment="1">
      <alignment horizontal="center"/>
    </xf>
    <xf numFmtId="0" fontId="9" fillId="0" borderId="7" xfId="0" applyFont="1" applyBorder="1"/>
    <xf numFmtId="171" fontId="5" fillId="2" borderId="0" xfId="0" applyNumberFormat="1" applyFont="1" applyFill="1" applyAlignment="1">
      <alignment horizontal="center"/>
    </xf>
    <xf numFmtId="172" fontId="5" fillId="2" borderId="0" xfId="0" applyNumberFormat="1" applyFont="1" applyFill="1" applyAlignment="1">
      <alignment horizontal="center"/>
    </xf>
    <xf numFmtId="44" fontId="21" fillId="0" borderId="0" xfId="9" applyFont="1" applyAlignment="1">
      <alignment horizontal="center"/>
    </xf>
    <xf numFmtId="44" fontId="22" fillId="0" borderId="0" xfId="9" applyFont="1" applyAlignment="1">
      <alignment horizontal="center"/>
    </xf>
    <xf numFmtId="44" fontId="23" fillId="0" borderId="7" xfId="9" applyFont="1" applyBorder="1" applyAlignment="1">
      <alignment horizontal="center"/>
    </xf>
    <xf numFmtId="44" fontId="22" fillId="0" borderId="7" xfId="9" applyFont="1" applyBorder="1" applyAlignment="1">
      <alignment horizontal="center"/>
    </xf>
    <xf numFmtId="170" fontId="5" fillId="0" borderId="0" xfId="0" applyNumberFormat="1" applyFont="1" applyAlignment="1">
      <alignment horizontal="center"/>
    </xf>
    <xf numFmtId="173" fontId="5" fillId="2" borderId="0" xfId="0" applyNumberFormat="1" applyFont="1" applyFill="1" applyAlignment="1">
      <alignment horizontal="center"/>
    </xf>
    <xf numFmtId="172" fontId="5" fillId="0" borderId="0" xfId="0" applyNumberFormat="1" applyFont="1" applyAlignment="1">
      <alignment horizontal="center"/>
    </xf>
    <xf numFmtId="164" fontId="0" fillId="4" borderId="0" xfId="5" applyNumberFormat="1" applyFont="1" applyFill="1"/>
    <xf numFmtId="164" fontId="2" fillId="0" borderId="8" xfId="9" applyNumberFormat="1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44" fontId="2" fillId="0" borderId="7" xfId="9" applyFont="1" applyBorder="1" applyAlignment="1">
      <alignment horizontal="center"/>
    </xf>
    <xf numFmtId="0" fontId="0" fillId="0" borderId="7" xfId="0" applyBorder="1"/>
    <xf numFmtId="9" fontId="5" fillId="0" borderId="0" xfId="13" applyFont="1"/>
    <xf numFmtId="0" fontId="2" fillId="0" borderId="6" xfId="0" applyFont="1" applyBorder="1"/>
    <xf numFmtId="0" fontId="5" fillId="4" borderId="1" xfId="0" applyFont="1" applyFill="1" applyBorder="1"/>
    <xf numFmtId="1" fontId="5" fillId="4" borderId="1" xfId="0" applyNumberFormat="1" applyFont="1" applyFill="1" applyBorder="1"/>
    <xf numFmtId="0" fontId="5" fillId="4" borderId="2" xfId="0" applyFont="1" applyFill="1" applyBorder="1"/>
    <xf numFmtId="44" fontId="2" fillId="0" borderId="6" xfId="9" applyFont="1" applyBorder="1" applyAlignment="1">
      <alignment horizontal="left"/>
    </xf>
    <xf numFmtId="44" fontId="5" fillId="0" borderId="3" xfId="9" applyFont="1" applyBorder="1" applyAlignment="1">
      <alignment horizontal="center"/>
    </xf>
    <xf numFmtId="44" fontId="5" fillId="0" borderId="5" xfId="9" applyFont="1" applyBorder="1"/>
    <xf numFmtId="174" fontId="5" fillId="4" borderId="2" xfId="13" applyNumberFormat="1" applyFont="1" applyFill="1" applyBorder="1" applyAlignment="1">
      <alignment horizontal="right"/>
    </xf>
    <xf numFmtId="168" fontId="5" fillId="6" borderId="0" xfId="0" applyNumberFormat="1" applyFont="1" applyFill="1" applyAlignment="1">
      <alignment horizontal="center"/>
    </xf>
    <xf numFmtId="9" fontId="5" fillId="6" borderId="0" xfId="13" applyFont="1" applyFill="1" applyAlignment="1">
      <alignment horizontal="center"/>
    </xf>
    <xf numFmtId="175" fontId="2" fillId="6" borderId="0" xfId="0" applyNumberFormat="1" applyFont="1" applyFill="1" applyAlignment="1">
      <alignment horizontal="center"/>
    </xf>
    <xf numFmtId="175" fontId="5" fillId="6" borderId="0" xfId="0" applyNumberFormat="1" applyFont="1" applyFill="1" applyAlignment="1">
      <alignment horizontal="center"/>
    </xf>
    <xf numFmtId="176" fontId="2" fillId="6" borderId="0" xfId="0" applyNumberFormat="1" applyFont="1" applyFill="1" applyAlignment="1">
      <alignment horizontal="center"/>
    </xf>
    <xf numFmtId="177" fontId="2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70" fontId="5" fillId="6" borderId="0" xfId="0" applyNumberFormat="1" applyFont="1" applyFill="1" applyAlignment="1">
      <alignment horizontal="center"/>
    </xf>
    <xf numFmtId="178" fontId="5" fillId="0" borderId="0" xfId="0" applyNumberFormat="1" applyFont="1" applyAlignment="1">
      <alignment horizontal="center"/>
    </xf>
    <xf numFmtId="10" fontId="5" fillId="4" borderId="0" xfId="13" applyNumberFormat="1" applyFont="1" applyFill="1" applyAlignment="1">
      <alignment horizontal="right"/>
    </xf>
    <xf numFmtId="164" fontId="5" fillId="6" borderId="0" xfId="5" applyNumberFormat="1" applyFont="1" applyFill="1" applyAlignment="1">
      <alignment horizontal="center"/>
    </xf>
    <xf numFmtId="164" fontId="2" fillId="6" borderId="8" xfId="9" applyNumberFormat="1" applyFont="1" applyFill="1" applyBorder="1" applyAlignment="1">
      <alignment horizontal="center"/>
    </xf>
    <xf numFmtId="37" fontId="5" fillId="6" borderId="0" xfId="9" applyNumberFormat="1" applyFont="1" applyFill="1" applyAlignment="1">
      <alignment horizontal="center"/>
    </xf>
    <xf numFmtId="168" fontId="5" fillId="6" borderId="0" xfId="9" applyNumberFormat="1" applyFont="1" applyFill="1" applyAlignment="1">
      <alignment horizontal="center"/>
    </xf>
    <xf numFmtId="177" fontId="5" fillId="6" borderId="0" xfId="9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</cellXfs>
  <cellStyles count="21">
    <cellStyle name="Comma 2" xfId="1" xr:uid="{00000000-0005-0000-0000-000001000000}"/>
    <cellStyle name="Comma 3" xfId="2" xr:uid="{00000000-0005-0000-0000-000002000000}"/>
    <cellStyle name="Comma 4" xfId="3" xr:uid="{00000000-0005-0000-0000-000003000000}"/>
    <cellStyle name="Comma 4 2" xfId="4" xr:uid="{00000000-0005-0000-0000-000004000000}"/>
    <cellStyle name="Currency" xfId="5" builtinId="4"/>
    <cellStyle name="Currency 2" xfId="6" xr:uid="{00000000-0005-0000-0000-000006000000}"/>
    <cellStyle name="Currency 3" xfId="7" xr:uid="{00000000-0005-0000-0000-000007000000}"/>
    <cellStyle name="Currency 4" xfId="8" xr:uid="{00000000-0005-0000-0000-000008000000}"/>
    <cellStyle name="Currency 4 2" xfId="9" xr:uid="{00000000-0005-0000-0000-000009000000}"/>
    <cellStyle name="Hyperlink" xfId="10" builtinId="8"/>
    <cellStyle name="Normal" xfId="0" builtinId="0"/>
    <cellStyle name="Normal 2" xfId="11" xr:uid="{00000000-0005-0000-0000-00000B000000}"/>
    <cellStyle name="Normal 3" xfId="12" xr:uid="{00000000-0005-0000-0000-00000C000000}"/>
    <cellStyle name="Normal 3 2" xfId="19" xr:uid="{00000000-0005-0000-0000-000013000000}"/>
    <cellStyle name="Percent" xfId="13" builtinId="5"/>
    <cellStyle name="Percent 2" xfId="14" xr:uid="{00000000-0005-0000-0000-00000E000000}"/>
    <cellStyle name="Percent 3" xfId="15" xr:uid="{00000000-0005-0000-0000-00000F000000}"/>
    <cellStyle name="Percent 4" xfId="16" xr:uid="{00000000-0005-0000-0000-000010000000}"/>
    <cellStyle name="Percent 4 2" xfId="17" xr:uid="{00000000-0005-0000-0000-000011000000}"/>
    <cellStyle name="Percent 5" xfId="18" xr:uid="{00000000-0005-0000-0000-000012000000}"/>
    <cellStyle name="Percent 5 2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C10" sqref="C10"/>
    </sheetView>
  </sheetViews>
  <sheetFormatPr defaultRowHeight="12.45"/>
  <cols>
    <col min="1" max="1" width="10.15234375" bestFit="1" customWidth="1"/>
    <col min="2" max="2" width="31.3046875" bestFit="1" customWidth="1"/>
  </cols>
  <sheetData>
    <row r="1" spans="1:3">
      <c r="A1" s="15" t="s">
        <v>110</v>
      </c>
      <c r="B1" s="5" t="s">
        <v>111</v>
      </c>
    </row>
    <row r="2" spans="1:3">
      <c r="A2" s="15" t="s">
        <v>112</v>
      </c>
      <c r="B2" s="5" t="s">
        <v>113</v>
      </c>
    </row>
    <row r="3" spans="1:3">
      <c r="A3" s="15" t="s">
        <v>114</v>
      </c>
      <c r="B3" s="5" t="s">
        <v>115</v>
      </c>
    </row>
    <row r="4" spans="1:3">
      <c r="A4" s="15" t="s">
        <v>116</v>
      </c>
      <c r="B4" s="5" t="s">
        <v>117</v>
      </c>
    </row>
    <row r="5" spans="1:3">
      <c r="A5" s="15" t="s">
        <v>118</v>
      </c>
      <c r="B5" s="24">
        <v>95366</v>
      </c>
    </row>
    <row r="6" spans="1:3" ht="15.9" customHeight="1">
      <c r="A6" s="15" t="s">
        <v>119</v>
      </c>
      <c r="B6" s="34"/>
      <c r="C6" s="5"/>
    </row>
    <row r="7" spans="1:3" ht="15.9" customHeight="1">
      <c r="A7" s="15" t="s">
        <v>120</v>
      </c>
      <c r="B7" s="34"/>
      <c r="C7" s="5"/>
    </row>
    <row r="8" spans="1:3">
      <c r="A8" s="15" t="s">
        <v>121</v>
      </c>
      <c r="B8" s="33" t="s">
        <v>122</v>
      </c>
    </row>
    <row r="9" spans="1:3">
      <c r="A9" s="15" t="s">
        <v>123</v>
      </c>
      <c r="B9" s="33"/>
    </row>
    <row r="10" spans="1:3">
      <c r="A10" s="15" t="s">
        <v>124</v>
      </c>
      <c r="B10" s="25"/>
      <c r="C10" s="5" t="s">
        <v>125</v>
      </c>
    </row>
    <row r="11" spans="1:3">
      <c r="A11" s="15" t="s">
        <v>126</v>
      </c>
      <c r="B11" s="25"/>
    </row>
    <row r="14" spans="1:3">
      <c r="B14" s="33"/>
    </row>
    <row r="15" spans="1:3" ht="12.9" customHeight="1">
      <c r="B15" s="31"/>
    </row>
    <row r="16" spans="1:3" ht="12.9" customHeight="1">
      <c r="B16" s="32"/>
    </row>
    <row r="17" spans="2:2">
      <c r="B17" s="26"/>
    </row>
    <row r="18" spans="2:2">
      <c r="B18" s="26"/>
    </row>
    <row r="19" spans="2:2" ht="17.600000000000001" customHeight="1">
      <c r="B19" s="27"/>
    </row>
    <row r="20" spans="2:2" ht="17.600000000000001" customHeight="1">
      <c r="B20" s="27"/>
    </row>
    <row r="21" spans="2:2" ht="15" customHeight="1">
      <c r="B21" s="28"/>
    </row>
    <row r="22" spans="2:2" ht="15" customHeight="1">
      <c r="B22" s="28"/>
    </row>
    <row r="23" spans="2:2" ht="15.45" customHeight="1">
      <c r="B23" s="29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22"/>
  <sheetViews>
    <sheetView tabSelected="1" workbookViewId="0">
      <pane ySplit="1" topLeftCell="A85" activePane="bottomLeft" state="frozen"/>
      <selection pane="bottomLeft" activeCell="D93" sqref="D93"/>
    </sheetView>
  </sheetViews>
  <sheetFormatPr defaultColWidth="9.15234375" defaultRowHeight="12.45"/>
  <cols>
    <col min="1" max="1" width="35.69140625" style="5" customWidth="1"/>
    <col min="2" max="2" width="20.69140625" style="6" customWidth="1"/>
    <col min="3" max="5" width="15.69140625" style="41" customWidth="1"/>
    <col min="6" max="8" width="15.69140625" style="5" customWidth="1"/>
    <col min="9" max="10" width="11.3046875" style="5" customWidth="1"/>
    <col min="11" max="11" width="12" style="5" customWidth="1"/>
    <col min="12" max="12" width="11.84375" style="5" customWidth="1"/>
    <col min="13" max="13" width="11.3046875" style="5" customWidth="1"/>
    <col min="14" max="15" width="11.15234375" style="5" customWidth="1"/>
    <col min="16" max="16" width="9.15234375" style="5" customWidth="1"/>
    <col min="17" max="16384" width="9.15234375" style="5"/>
  </cols>
  <sheetData>
    <row r="1" spans="1:14">
      <c r="A1" s="3" t="str">
        <f>'Customer Info'!B1</f>
        <v>RAY DAVIDSON</v>
      </c>
    </row>
    <row r="2" spans="1:14">
      <c r="A2" s="3"/>
    </row>
    <row r="3" spans="1:14">
      <c r="A3" s="3" t="s">
        <v>0</v>
      </c>
    </row>
    <row r="4" spans="1:14">
      <c r="A4" s="5" t="s">
        <v>1</v>
      </c>
      <c r="B4" s="72">
        <v>400</v>
      </c>
    </row>
    <row r="5" spans="1:14">
      <c r="A5" s="5" t="s">
        <v>2</v>
      </c>
      <c r="B5" s="72">
        <v>200</v>
      </c>
      <c r="C5" s="42"/>
    </row>
    <row r="6" spans="1:14">
      <c r="A6" s="5" t="s">
        <v>3</v>
      </c>
      <c r="B6" s="72">
        <v>200</v>
      </c>
    </row>
    <row r="7" spans="1:14">
      <c r="A7" s="5" t="s">
        <v>4</v>
      </c>
      <c r="B7" s="71">
        <f>B6*1.2-B5</f>
        <v>40</v>
      </c>
    </row>
    <row r="8" spans="1:14">
      <c r="A8" s="5" t="s">
        <v>5</v>
      </c>
      <c r="B8" s="8" t="s">
        <v>6</v>
      </c>
    </row>
    <row r="9" spans="1:14">
      <c r="A9" s="5" t="s">
        <v>7</v>
      </c>
      <c r="B9" s="8" t="b">
        <v>1</v>
      </c>
    </row>
    <row r="10" spans="1:14">
      <c r="B10" s="43"/>
    </row>
    <row r="11" spans="1:14" ht="15" customHeight="1">
      <c r="A11" s="3"/>
      <c r="B11" s="44" t="s">
        <v>8</v>
      </c>
      <c r="C11" s="44" t="s">
        <v>9</v>
      </c>
      <c r="D11" s="44" t="s">
        <v>10</v>
      </c>
      <c r="E11" s="44" t="s">
        <v>11</v>
      </c>
      <c r="F11" s="44" t="s">
        <v>12</v>
      </c>
      <c r="G11" s="30" t="s">
        <v>13</v>
      </c>
      <c r="H11" s="30"/>
      <c r="I11" s="4"/>
      <c r="L11" s="4"/>
    </row>
    <row r="12" spans="1:14">
      <c r="A12" s="1" t="s">
        <v>14</v>
      </c>
      <c r="B12" s="109" t="s">
        <v>15</v>
      </c>
      <c r="C12" s="115">
        <v>28</v>
      </c>
      <c r="D12" s="116">
        <v>435</v>
      </c>
      <c r="E12" s="60">
        <v>0.45</v>
      </c>
      <c r="F12" s="11">
        <f>D12*E12</f>
        <v>195.75</v>
      </c>
      <c r="G12" s="64">
        <f t="shared" ref="G12:G17" si="0">F12*C12*(1+$I$29)</f>
        <v>5912.6287500000008</v>
      </c>
    </row>
    <row r="13" spans="1:14">
      <c r="A13" s="1" t="s">
        <v>16</v>
      </c>
      <c r="B13" s="109" t="s">
        <v>17</v>
      </c>
      <c r="C13" s="115">
        <v>28</v>
      </c>
      <c r="D13" s="69"/>
      <c r="E13" s="41">
        <f>F13/D12</f>
        <v>0.40689655172413791</v>
      </c>
      <c r="F13" s="61">
        <f>(159+18)</f>
        <v>177</v>
      </c>
      <c r="G13" s="64">
        <f t="shared" si="0"/>
        <v>5346.2850000000008</v>
      </c>
      <c r="H13" s="46"/>
    </row>
    <row r="14" spans="1:14">
      <c r="A14" s="1" t="s">
        <v>18</v>
      </c>
      <c r="B14" s="62" t="s">
        <v>19</v>
      </c>
      <c r="C14" s="115">
        <f>C12</f>
        <v>28</v>
      </c>
      <c r="D14" s="69"/>
      <c r="E14" s="69"/>
      <c r="F14" s="68">
        <f>IF(B14="Tile Hook", 80, 65)</f>
        <v>65</v>
      </c>
      <c r="G14" s="64">
        <f t="shared" si="0"/>
        <v>1963.3250000000003</v>
      </c>
      <c r="H14" s="46"/>
      <c r="J14" s="41"/>
      <c r="L14" s="6"/>
      <c r="M14" s="6"/>
      <c r="N14" s="23"/>
    </row>
    <row r="15" spans="1:14">
      <c r="A15" s="1" t="s">
        <v>20</v>
      </c>
      <c r="B15" s="62" t="s">
        <v>21</v>
      </c>
      <c r="C15" s="47">
        <v>1</v>
      </c>
      <c r="D15" s="69"/>
      <c r="E15" s="69"/>
      <c r="F15" s="11">
        <f>IF(B15="IQ Combiner 5", 700, 1450)</f>
        <v>700</v>
      </c>
      <c r="G15" s="64">
        <f t="shared" si="0"/>
        <v>755.12500000000011</v>
      </c>
      <c r="H15" s="46"/>
      <c r="J15" s="41"/>
      <c r="L15" s="6"/>
      <c r="M15" s="6"/>
      <c r="N15" s="23"/>
    </row>
    <row r="16" spans="1:14">
      <c r="A16" s="1" t="s">
        <v>22</v>
      </c>
      <c r="B16" s="109" t="s">
        <v>23</v>
      </c>
      <c r="C16" s="115">
        <v>2</v>
      </c>
      <c r="D16" s="117">
        <v>10</v>
      </c>
      <c r="E16" s="69"/>
      <c r="F16" s="61">
        <f>2950*2+450</f>
        <v>6350</v>
      </c>
      <c r="G16" s="64">
        <f t="shared" si="0"/>
        <v>13700.125000000002</v>
      </c>
      <c r="H16" s="46"/>
      <c r="J16" s="41"/>
      <c r="L16" s="6"/>
      <c r="M16" s="6"/>
      <c r="N16" s="23"/>
    </row>
    <row r="17" spans="1:15">
      <c r="A17" s="1" t="s">
        <v>24</v>
      </c>
      <c r="B17" s="62" t="s">
        <v>25</v>
      </c>
      <c r="C17" s="47">
        <f>IF(B17="Grid-Tied", 0, 1)</f>
        <v>0</v>
      </c>
      <c r="D17" s="69"/>
      <c r="E17" s="69"/>
      <c r="F17" s="61">
        <f>IF(B17="Grid-Tied",0,IF(B17="Meter Collar",1000,3500))</f>
        <v>0</v>
      </c>
      <c r="G17" s="64">
        <f t="shared" si="0"/>
        <v>0</v>
      </c>
      <c r="H17" s="46"/>
      <c r="J17" s="41"/>
      <c r="L17" s="6"/>
      <c r="M17" s="6"/>
      <c r="N17" s="23"/>
    </row>
    <row r="18" spans="1:15">
      <c r="A18" s="3"/>
      <c r="C18" s="47"/>
      <c r="J18" s="41"/>
      <c r="L18" s="6"/>
      <c r="M18" s="6"/>
      <c r="N18" s="23"/>
    </row>
    <row r="19" spans="1:15">
      <c r="A19" s="5" t="s">
        <v>26</v>
      </c>
      <c r="B19" s="103">
        <f>D12</f>
        <v>435</v>
      </c>
      <c r="J19" s="41"/>
      <c r="L19" s="6"/>
      <c r="M19" s="6"/>
      <c r="N19" s="23"/>
    </row>
    <row r="20" spans="1:15">
      <c r="A20" s="5" t="s">
        <v>27</v>
      </c>
      <c r="B20" s="70" t="s">
        <v>28</v>
      </c>
      <c r="C20" s="104">
        <f>B20/B19</f>
        <v>0.9324137931034483</v>
      </c>
      <c r="E20" s="48"/>
      <c r="J20" s="41"/>
      <c r="L20" s="6"/>
      <c r="M20" s="6"/>
      <c r="N20" s="23"/>
    </row>
    <row r="21" spans="1:15">
      <c r="A21" s="5" t="s">
        <v>29</v>
      </c>
      <c r="B21" s="66">
        <v>0.97</v>
      </c>
      <c r="C21" s="49"/>
      <c r="D21" s="49"/>
      <c r="L21" s="6"/>
      <c r="M21" s="6"/>
      <c r="N21" s="23"/>
    </row>
    <row r="22" spans="1:15">
      <c r="A22" s="5" t="s">
        <v>30</v>
      </c>
      <c r="B22" s="105">
        <f>D12*C12</f>
        <v>12180</v>
      </c>
      <c r="L22" s="6"/>
      <c r="M22" s="6"/>
      <c r="N22" s="23"/>
    </row>
    <row r="23" spans="1:15">
      <c r="A23" s="5" t="s">
        <v>31</v>
      </c>
      <c r="B23" s="106">
        <f>B20*C12*B21</f>
        <v>11016.096000000001</v>
      </c>
      <c r="K23" s="4"/>
      <c r="L23" s="6"/>
      <c r="M23" s="6"/>
      <c r="N23" s="23"/>
    </row>
    <row r="24" spans="1:15">
      <c r="A24" s="5" t="s">
        <v>32</v>
      </c>
      <c r="B24" s="65">
        <v>1550</v>
      </c>
      <c r="C24" s="41" t="s">
        <v>33</v>
      </c>
      <c r="K24" s="4"/>
      <c r="M24" s="4"/>
    </row>
    <row r="25" spans="1:15">
      <c r="A25" s="5" t="s">
        <v>34</v>
      </c>
      <c r="B25" s="107">
        <f>B22*B24/1000</f>
        <v>18879</v>
      </c>
      <c r="K25" s="4"/>
      <c r="L25" s="4"/>
    </row>
    <row r="26" spans="1:15">
      <c r="A26" s="5" t="s">
        <v>35</v>
      </c>
      <c r="B26" s="108">
        <f>D16*C16</f>
        <v>20</v>
      </c>
      <c r="K26" s="4"/>
      <c r="L26" s="4"/>
    </row>
    <row r="27" spans="1:15">
      <c r="B27" s="35"/>
      <c r="K27" s="4"/>
      <c r="L27" s="4"/>
    </row>
    <row r="28" spans="1:15">
      <c r="A28" s="21" t="s">
        <v>36</v>
      </c>
      <c r="B28" s="35"/>
      <c r="H28" s="99" t="s">
        <v>37</v>
      </c>
      <c r="I28" s="100"/>
      <c r="K28" s="4"/>
      <c r="L28" s="4"/>
    </row>
    <row r="29" spans="1:15">
      <c r="A29" s="4"/>
      <c r="B29" s="10" t="s">
        <v>9</v>
      </c>
      <c r="C29" s="51" t="s">
        <v>12</v>
      </c>
      <c r="D29" s="51" t="s">
        <v>38</v>
      </c>
      <c r="E29" s="81" t="s">
        <v>11</v>
      </c>
      <c r="F29" s="4" t="s">
        <v>39</v>
      </c>
      <c r="H29" s="101" t="s">
        <v>40</v>
      </c>
      <c r="I29" s="102">
        <v>7.8750000000000001E-2</v>
      </c>
      <c r="L29" s="6"/>
      <c r="M29" s="9"/>
      <c r="N29" s="6"/>
      <c r="O29" s="50"/>
    </row>
    <row r="30" spans="1:15">
      <c r="A30" s="3" t="s">
        <v>41</v>
      </c>
      <c r="B30" s="10"/>
      <c r="C30" s="51"/>
      <c r="D30" s="51"/>
      <c r="E30" s="81"/>
      <c r="F30" s="4"/>
      <c r="L30" s="6"/>
      <c r="M30" s="9"/>
      <c r="N30" s="6"/>
      <c r="O30" s="50"/>
    </row>
    <row r="31" spans="1:15">
      <c r="A31" s="5" t="s">
        <v>42</v>
      </c>
      <c r="D31" s="52">
        <f>SUM(G12,G13,G14,G15)</f>
        <v>13977.363750000002</v>
      </c>
      <c r="E31" s="82">
        <f>D31/$B$22</f>
        <v>1.1475668103448278</v>
      </c>
      <c r="F31" s="36" t="s">
        <v>43</v>
      </c>
      <c r="H31" s="95" t="s">
        <v>44</v>
      </c>
      <c r="I31" s="16"/>
      <c r="L31" s="6"/>
      <c r="M31" s="9"/>
      <c r="N31" s="6"/>
      <c r="O31" s="50"/>
    </row>
    <row r="32" spans="1:15">
      <c r="A32" s="5" t="s">
        <v>45</v>
      </c>
      <c r="D32" s="74">
        <v>0</v>
      </c>
      <c r="E32" s="82">
        <f>D32/$B$22</f>
        <v>0</v>
      </c>
      <c r="F32" s="36" t="s">
        <v>43</v>
      </c>
      <c r="H32" s="17" t="s">
        <v>46</v>
      </c>
      <c r="I32" s="96">
        <v>3</v>
      </c>
      <c r="L32" s="24"/>
      <c r="M32" s="9"/>
      <c r="N32" s="6"/>
      <c r="O32" s="50"/>
    </row>
    <row r="33" spans="1:15">
      <c r="A33" s="5" t="s">
        <v>47</v>
      </c>
      <c r="B33" s="110">
        <f>I32*I34*I35+I33</f>
        <v>28</v>
      </c>
      <c r="C33" s="60">
        <v>45</v>
      </c>
      <c r="D33" s="41">
        <f>B33*C33</f>
        <v>1260</v>
      </c>
      <c r="E33" s="82">
        <f>D33/$B$22</f>
        <v>0.10344827586206896</v>
      </c>
      <c r="F33" s="36" t="s">
        <v>48</v>
      </c>
      <c r="H33" s="17" t="s">
        <v>49</v>
      </c>
      <c r="I33" s="96">
        <v>4</v>
      </c>
      <c r="J33" s="11"/>
      <c r="L33" s="6"/>
      <c r="M33" s="9"/>
      <c r="N33" s="6"/>
      <c r="O33" s="50"/>
    </row>
    <row r="34" spans="1:15" s="13" customFormat="1" ht="12.9" customHeight="1">
      <c r="A34" s="75" t="str">
        <f>"Total " &amp;A30</f>
        <v>Total PV System</v>
      </c>
      <c r="B34" s="76"/>
      <c r="C34" s="77"/>
      <c r="D34" s="77">
        <f>SUM(D31:D33)</f>
        <v>15237.363750000002</v>
      </c>
      <c r="E34" s="83">
        <f>SUM(E31:E33)</f>
        <v>1.2510150862068967</v>
      </c>
      <c r="F34" s="78"/>
      <c r="H34" s="17" t="s">
        <v>50</v>
      </c>
      <c r="I34" s="97">
        <v>8</v>
      </c>
      <c r="J34" s="14"/>
      <c r="L34" s="6"/>
      <c r="M34" s="9"/>
      <c r="N34" s="6"/>
      <c r="O34" s="50"/>
    </row>
    <row r="35" spans="1:15">
      <c r="E35" s="82"/>
      <c r="F35" s="36"/>
      <c r="H35" s="19" t="s">
        <v>51</v>
      </c>
      <c r="I35" s="98">
        <v>1</v>
      </c>
      <c r="L35" s="6"/>
      <c r="M35" s="9"/>
      <c r="N35" s="6"/>
      <c r="O35" s="50"/>
    </row>
    <row r="36" spans="1:15">
      <c r="A36" s="3" t="s">
        <v>52</v>
      </c>
      <c r="E36" s="82"/>
      <c r="F36" s="36"/>
      <c r="L36" s="6"/>
      <c r="M36" s="9"/>
      <c r="N36" s="6"/>
      <c r="O36" s="50"/>
    </row>
    <row r="37" spans="1:15">
      <c r="A37" s="5" t="s">
        <v>53</v>
      </c>
      <c r="B37" s="80">
        <v>0</v>
      </c>
      <c r="C37" s="45">
        <f>2.15*(1+I29)</f>
        <v>2.3193125000000001</v>
      </c>
      <c r="D37" s="41">
        <f>B37*C37</f>
        <v>0</v>
      </c>
      <c r="E37" s="82">
        <f t="shared" ref="E37:E42" si="1">D37/$B$22</f>
        <v>0</v>
      </c>
      <c r="F37" s="36" t="s">
        <v>43</v>
      </c>
      <c r="H37" s="95" t="s">
        <v>54</v>
      </c>
      <c r="I37" s="16"/>
      <c r="L37" s="6"/>
      <c r="M37" s="9"/>
      <c r="N37" s="6"/>
      <c r="O37" s="50"/>
    </row>
    <row r="38" spans="1:15">
      <c r="A38" s="5" t="s">
        <v>55</v>
      </c>
      <c r="B38" s="79">
        <v>0</v>
      </c>
      <c r="C38" s="41">
        <v>130</v>
      </c>
      <c r="D38" s="41">
        <f>B38*C38</f>
        <v>0</v>
      </c>
      <c r="E38" s="82">
        <f t="shared" si="1"/>
        <v>0</v>
      </c>
      <c r="F38" s="36" t="s">
        <v>43</v>
      </c>
      <c r="H38" s="19" t="s">
        <v>56</v>
      </c>
      <c r="I38" s="98">
        <v>5</v>
      </c>
      <c r="L38" s="6"/>
      <c r="M38" s="9"/>
      <c r="N38" s="6"/>
      <c r="O38" s="50"/>
    </row>
    <row r="39" spans="1:15">
      <c r="A39" s="5" t="s">
        <v>57</v>
      </c>
      <c r="B39" s="8">
        <v>0</v>
      </c>
      <c r="C39" s="41">
        <v>450</v>
      </c>
      <c r="D39" s="41">
        <f>B39*C39</f>
        <v>0</v>
      </c>
      <c r="E39" s="82">
        <f t="shared" si="1"/>
        <v>0</v>
      </c>
      <c r="F39" s="36" t="s">
        <v>43</v>
      </c>
      <c r="L39" s="6"/>
      <c r="M39" s="9"/>
      <c r="N39" s="6"/>
      <c r="O39" s="50"/>
    </row>
    <row r="40" spans="1:15">
      <c r="A40" s="5" t="s">
        <v>58</v>
      </c>
      <c r="B40" s="86">
        <v>0</v>
      </c>
      <c r="C40" s="41">
        <v>125</v>
      </c>
      <c r="D40" s="41">
        <f>B40*C40</f>
        <v>0</v>
      </c>
      <c r="E40" s="82">
        <f t="shared" si="1"/>
        <v>0</v>
      </c>
      <c r="F40" s="36" t="s">
        <v>43</v>
      </c>
      <c r="L40" s="6"/>
      <c r="M40" s="9"/>
      <c r="N40" s="6"/>
      <c r="O40" s="50"/>
    </row>
    <row r="41" spans="1:15">
      <c r="A41" s="5" t="s">
        <v>59</v>
      </c>
      <c r="B41" s="73">
        <v>0</v>
      </c>
      <c r="C41" s="41">
        <f>C33</f>
        <v>45</v>
      </c>
      <c r="D41" s="41">
        <f>B41*C41</f>
        <v>0</v>
      </c>
      <c r="E41" s="82">
        <f t="shared" si="1"/>
        <v>0</v>
      </c>
      <c r="F41" s="36" t="s">
        <v>48</v>
      </c>
      <c r="L41" s="6"/>
      <c r="M41" s="9"/>
      <c r="N41" s="6"/>
      <c r="O41" s="50"/>
    </row>
    <row r="42" spans="1:15" s="13" customFormat="1" ht="12.9" customHeight="1">
      <c r="A42" s="75" t="str">
        <f>"Total " &amp;A36</f>
        <v>Total Ground Rack</v>
      </c>
      <c r="B42" s="76"/>
      <c r="C42" s="77"/>
      <c r="D42" s="77">
        <f>SUM(D37:D41)</f>
        <v>0</v>
      </c>
      <c r="E42" s="83">
        <f t="shared" si="1"/>
        <v>0</v>
      </c>
      <c r="F42" s="78"/>
      <c r="H42" s="14"/>
      <c r="I42" s="14"/>
      <c r="L42" s="6"/>
      <c r="M42" s="9"/>
      <c r="N42" s="6"/>
      <c r="O42" s="50"/>
    </row>
    <row r="43" spans="1:15">
      <c r="E43" s="82"/>
      <c r="F43" s="36"/>
      <c r="H43" s="11"/>
      <c r="I43" s="11"/>
      <c r="M43" s="6"/>
      <c r="N43" s="6"/>
      <c r="O43" s="50"/>
    </row>
    <row r="44" spans="1:15">
      <c r="A44" s="3" t="s">
        <v>60</v>
      </c>
      <c r="E44" s="82"/>
      <c r="F44" s="36"/>
    </row>
    <row r="45" spans="1:15">
      <c r="A45" s="5" t="s">
        <v>61</v>
      </c>
      <c r="B45" s="86">
        <v>0</v>
      </c>
      <c r="C45" s="60">
        <v>300</v>
      </c>
      <c r="D45" s="41">
        <f t="shared" ref="D45:D50" si="2">B45*C45</f>
        <v>0</v>
      </c>
      <c r="E45" s="82">
        <f t="shared" ref="E45:E51" si="3">D45/$B$22</f>
        <v>0</v>
      </c>
      <c r="F45" s="36" t="s">
        <v>43</v>
      </c>
    </row>
    <row r="46" spans="1:15">
      <c r="A46" s="5" t="s">
        <v>62</v>
      </c>
      <c r="B46" s="73">
        <v>0</v>
      </c>
      <c r="C46" s="45">
        <f>C33</f>
        <v>45</v>
      </c>
      <c r="D46" s="41">
        <f t="shared" si="2"/>
        <v>0</v>
      </c>
      <c r="E46" s="82">
        <f t="shared" si="3"/>
        <v>0</v>
      </c>
      <c r="F46" s="36" t="s">
        <v>48</v>
      </c>
    </row>
    <row r="47" spans="1:15" ht="12.9" customHeight="1">
      <c r="A47" s="5" t="s">
        <v>63</v>
      </c>
      <c r="B47" s="80">
        <v>100</v>
      </c>
      <c r="C47" s="45">
        <v>0.7</v>
      </c>
      <c r="D47" s="41">
        <f t="shared" si="2"/>
        <v>70</v>
      </c>
      <c r="E47" s="82">
        <f t="shared" si="3"/>
        <v>5.7471264367816091E-3</v>
      </c>
      <c r="F47" s="36" t="s">
        <v>43</v>
      </c>
      <c r="L47" s="13"/>
      <c r="M47" s="13"/>
      <c r="N47" s="13"/>
      <c r="O47" s="13"/>
    </row>
    <row r="48" spans="1:15">
      <c r="A48" s="5" t="s">
        <v>64</v>
      </c>
      <c r="B48" s="87">
        <f>B47*I38</f>
        <v>500</v>
      </c>
      <c r="C48" s="45">
        <v>0.4</v>
      </c>
      <c r="D48" s="41">
        <f t="shared" si="2"/>
        <v>200</v>
      </c>
      <c r="E48" s="82">
        <f t="shared" si="3"/>
        <v>1.6420361247947456E-2</v>
      </c>
      <c r="F48" s="36" t="s">
        <v>43</v>
      </c>
    </row>
    <row r="49" spans="1:15">
      <c r="A49" s="5" t="s">
        <v>65</v>
      </c>
      <c r="B49" s="6">
        <v>1</v>
      </c>
      <c r="C49" s="45">
        <v>300</v>
      </c>
      <c r="D49" s="41">
        <f t="shared" si="2"/>
        <v>300</v>
      </c>
      <c r="E49" s="82">
        <f t="shared" si="3"/>
        <v>2.4630541871921183E-2</v>
      </c>
      <c r="F49" s="36" t="s">
        <v>43</v>
      </c>
    </row>
    <row r="50" spans="1:15">
      <c r="A50" s="5" t="s">
        <v>66</v>
      </c>
      <c r="B50" s="6">
        <v>1</v>
      </c>
      <c r="C50" s="45">
        <v>1000</v>
      </c>
      <c r="D50" s="41">
        <f t="shared" si="2"/>
        <v>1000</v>
      </c>
      <c r="E50" s="82">
        <f t="shared" si="3"/>
        <v>8.2101806239737271E-2</v>
      </c>
      <c r="F50" s="36" t="s">
        <v>48</v>
      </c>
    </row>
    <row r="51" spans="1:15" s="13" customFormat="1" ht="12.9" customHeight="1">
      <c r="A51" s="75" t="str">
        <f>"Total " &amp;A44</f>
        <v>Total Electrical</v>
      </c>
      <c r="B51" s="76"/>
      <c r="C51" s="77"/>
      <c r="D51" s="77">
        <f>SUM(D45:D50)</f>
        <v>1570</v>
      </c>
      <c r="E51" s="84">
        <f t="shared" si="3"/>
        <v>0.12889983579638753</v>
      </c>
      <c r="F51" s="78"/>
      <c r="L51" s="5"/>
      <c r="M51" s="5"/>
      <c r="N51" s="5"/>
      <c r="O51" s="5"/>
    </row>
    <row r="52" spans="1:15">
      <c r="E52" s="82"/>
    </row>
    <row r="53" spans="1:15">
      <c r="A53" s="3" t="s">
        <v>67</v>
      </c>
      <c r="E53" s="82"/>
      <c r="F53" s="36"/>
    </row>
    <row r="54" spans="1:15">
      <c r="A54" s="5" t="s">
        <v>68</v>
      </c>
      <c r="B54" s="111">
        <v>2</v>
      </c>
      <c r="C54" s="41">
        <v>75</v>
      </c>
      <c r="D54" s="41">
        <f>B54*C54</f>
        <v>150</v>
      </c>
      <c r="E54" s="82">
        <f t="shared" ref="E54:E62" si="4">D54/$B$22</f>
        <v>1.2315270935960592E-2</v>
      </c>
      <c r="F54" s="36" t="s">
        <v>48</v>
      </c>
    </row>
    <row r="55" spans="1:15">
      <c r="A55" s="5" t="s">
        <v>69</v>
      </c>
      <c r="D55" s="60">
        <v>550</v>
      </c>
      <c r="E55" s="82">
        <f t="shared" si="4"/>
        <v>4.5155993431855501E-2</v>
      </c>
      <c r="F55" s="36" t="s">
        <v>43</v>
      </c>
    </row>
    <row r="56" spans="1:15">
      <c r="A56" s="5" t="s">
        <v>70</v>
      </c>
      <c r="D56" s="60">
        <v>900</v>
      </c>
      <c r="E56" s="82">
        <f t="shared" si="4"/>
        <v>7.3891625615763554E-2</v>
      </c>
      <c r="F56" s="36" t="s">
        <v>43</v>
      </c>
    </row>
    <row r="57" spans="1:15">
      <c r="A57" s="5" t="s">
        <v>71</v>
      </c>
      <c r="B57" s="111">
        <v>1</v>
      </c>
      <c r="C57" s="41">
        <v>75</v>
      </c>
      <c r="D57" s="41">
        <f>B57*C57</f>
        <v>75</v>
      </c>
      <c r="E57" s="82">
        <f t="shared" si="4"/>
        <v>6.1576354679802959E-3</v>
      </c>
      <c r="F57" s="36" t="s">
        <v>48</v>
      </c>
    </row>
    <row r="58" spans="1:15">
      <c r="A58" s="5" t="s">
        <v>72</v>
      </c>
      <c r="B58" s="85">
        <v>0</v>
      </c>
      <c r="C58" s="41">
        <f>J19</f>
        <v>0</v>
      </c>
      <c r="D58" s="41">
        <f>B58*C58</f>
        <v>0</v>
      </c>
      <c r="E58" s="82">
        <f t="shared" si="4"/>
        <v>0</v>
      </c>
      <c r="F58" s="36" t="s">
        <v>43</v>
      </c>
    </row>
    <row r="59" spans="1:15" ht="12.9" customHeight="1">
      <c r="A59" s="5" t="s">
        <v>73</v>
      </c>
      <c r="B59" s="85">
        <v>0</v>
      </c>
      <c r="C59" s="41">
        <v>350</v>
      </c>
      <c r="D59" s="41">
        <f>B59*C59</f>
        <v>0</v>
      </c>
      <c r="E59" s="82">
        <f t="shared" si="4"/>
        <v>0</v>
      </c>
      <c r="F59" s="36" t="s">
        <v>43</v>
      </c>
      <c r="L59" s="13"/>
      <c r="M59" s="13"/>
      <c r="N59" s="13"/>
      <c r="O59" s="13"/>
    </row>
    <row r="60" spans="1:15">
      <c r="A60" s="5" t="s">
        <v>74</v>
      </c>
      <c r="B60" s="6">
        <v>1</v>
      </c>
      <c r="C60" s="41">
        <v>200</v>
      </c>
      <c r="D60" s="41">
        <f>B60*C60</f>
        <v>200</v>
      </c>
      <c r="E60" s="82">
        <f t="shared" si="4"/>
        <v>1.6420361247947456E-2</v>
      </c>
      <c r="F60" s="36" t="s">
        <v>43</v>
      </c>
    </row>
    <row r="61" spans="1:15">
      <c r="A61" s="5" t="s">
        <v>75</v>
      </c>
      <c r="B61" s="85">
        <v>1</v>
      </c>
      <c r="C61" s="41">
        <v>50</v>
      </c>
      <c r="D61" s="41">
        <f>B61*C61</f>
        <v>50</v>
      </c>
      <c r="E61" s="82">
        <f t="shared" si="4"/>
        <v>4.1050903119868639E-3</v>
      </c>
      <c r="F61" s="36" t="s">
        <v>48</v>
      </c>
    </row>
    <row r="62" spans="1:15" s="13" customFormat="1" ht="12.9" customHeight="1">
      <c r="A62" s="75" t="str">
        <f>"Total " &amp;A53</f>
        <v>Total Paperwork &amp; Approvals</v>
      </c>
      <c r="B62" s="76"/>
      <c r="C62" s="77"/>
      <c r="D62" s="77">
        <f>SUM(D54:D61)</f>
        <v>1925</v>
      </c>
      <c r="E62" s="83">
        <f t="shared" si="4"/>
        <v>0.15804597701149425</v>
      </c>
      <c r="F62" s="78"/>
      <c r="L62" s="5"/>
      <c r="M62" s="5"/>
      <c r="N62" s="5"/>
      <c r="O62" s="5"/>
    </row>
    <row r="63" spans="1:15">
      <c r="E63" s="82"/>
      <c r="F63" s="36"/>
    </row>
    <row r="64" spans="1:15">
      <c r="A64" s="3" t="s">
        <v>76</v>
      </c>
      <c r="E64" s="82"/>
      <c r="F64" s="36"/>
    </row>
    <row r="65" spans="1:15">
      <c r="A65" s="5" t="s">
        <v>77</v>
      </c>
      <c r="D65" s="45">
        <v>0</v>
      </c>
      <c r="E65" s="82">
        <f t="shared" ref="E65:E70" si="5">D65/$B$22</f>
        <v>0</v>
      </c>
      <c r="F65" s="36" t="s">
        <v>43</v>
      </c>
      <c r="I65" s="40"/>
    </row>
    <row r="66" spans="1:15">
      <c r="A66" s="5" t="s">
        <v>78</v>
      </c>
      <c r="D66" s="53">
        <v>1000</v>
      </c>
      <c r="E66" s="82">
        <f t="shared" si="5"/>
        <v>8.2101806239737271E-2</v>
      </c>
      <c r="F66" s="36" t="s">
        <v>43</v>
      </c>
      <c r="O66" s="11"/>
    </row>
    <row r="67" spans="1:15" ht="12.9" customHeight="1">
      <c r="A67" s="5" t="s">
        <v>79</v>
      </c>
      <c r="D67" s="45">
        <v>0</v>
      </c>
      <c r="E67" s="82">
        <f t="shared" si="5"/>
        <v>0</v>
      </c>
      <c r="F67" s="36" t="s">
        <v>48</v>
      </c>
      <c r="M67" s="13"/>
      <c r="N67" s="13"/>
      <c r="O67" s="13"/>
    </row>
    <row r="68" spans="1:15">
      <c r="A68" s="5" t="s">
        <v>80</v>
      </c>
      <c r="D68" s="45">
        <v>50</v>
      </c>
      <c r="E68" s="82">
        <f t="shared" si="5"/>
        <v>4.1050903119868639E-3</v>
      </c>
      <c r="F68" s="36" t="s">
        <v>43</v>
      </c>
      <c r="J68" s="37"/>
    </row>
    <row r="69" spans="1:15">
      <c r="A69" s="5" t="s">
        <v>81</v>
      </c>
      <c r="D69" s="45">
        <v>0</v>
      </c>
      <c r="E69" s="82">
        <f t="shared" si="5"/>
        <v>0</v>
      </c>
      <c r="F69" s="36" t="s">
        <v>48</v>
      </c>
      <c r="J69" s="37"/>
    </row>
    <row r="70" spans="1:15" s="13" customFormat="1" ht="12.9" customHeight="1">
      <c r="A70" s="75" t="str">
        <f>"Total " &amp;A64</f>
        <v>Total Miscellaneous</v>
      </c>
      <c r="B70" s="76"/>
      <c r="C70" s="77"/>
      <c r="D70" s="77">
        <f>SUM(D65:D69)</f>
        <v>1050</v>
      </c>
      <c r="E70" s="83">
        <f t="shared" si="5"/>
        <v>8.6206896551724144E-2</v>
      </c>
      <c r="F70" s="75"/>
      <c r="M70" s="1"/>
      <c r="N70" s="1"/>
      <c r="O70" s="1"/>
    </row>
    <row r="71" spans="1:15">
      <c r="E71" s="82"/>
      <c r="M71" s="1"/>
      <c r="N71" s="1"/>
      <c r="O71" s="1"/>
    </row>
    <row r="72" spans="1:15" s="1" customFormat="1">
      <c r="A72" s="1" t="s">
        <v>82</v>
      </c>
      <c r="B72" s="2"/>
      <c r="C72" s="54"/>
      <c r="D72" s="54">
        <f>SUMIF(F31:F70, "Equipment", D31:D70)</f>
        <v>17247.363750000004</v>
      </c>
      <c r="E72" s="82">
        <f t="shared" ref="E72:E78" si="6">D72/$B$22</f>
        <v>1.4160397167487688</v>
      </c>
      <c r="J72" s="38"/>
      <c r="K72" s="39"/>
      <c r="L72" s="39"/>
      <c r="M72" s="5"/>
      <c r="N72" s="5"/>
      <c r="O72" s="5"/>
    </row>
    <row r="73" spans="1:15" s="1" customFormat="1">
      <c r="A73" s="1" t="s">
        <v>83</v>
      </c>
      <c r="B73" s="2"/>
      <c r="C73" s="54"/>
      <c r="D73" s="54">
        <f>SUMIF(F31:F70, "Labor", D31:D70)</f>
        <v>2535</v>
      </c>
      <c r="E73" s="82">
        <f t="shared" si="6"/>
        <v>0.20812807881773399</v>
      </c>
      <c r="F73" s="5"/>
      <c r="H73" s="22"/>
      <c r="J73" s="46"/>
      <c r="K73" s="5"/>
      <c r="L73" s="5"/>
      <c r="M73" s="5"/>
      <c r="N73" s="5"/>
      <c r="O73" s="5"/>
    </row>
    <row r="74" spans="1:15">
      <c r="A74" s="5" t="s">
        <v>84</v>
      </c>
      <c r="B74" s="7"/>
      <c r="C74" s="55">
        <v>0</v>
      </c>
      <c r="D74" s="41">
        <f>C74*SUM(D72,D73,D75,D76,D77)</f>
        <v>0</v>
      </c>
      <c r="E74" s="82">
        <f t="shared" si="6"/>
        <v>0</v>
      </c>
      <c r="J74" s="46"/>
      <c r="L74" s="41"/>
    </row>
    <row r="75" spans="1:15">
      <c r="A75" s="5" t="s">
        <v>85</v>
      </c>
      <c r="D75" s="45">
        <v>200</v>
      </c>
      <c r="E75" s="82">
        <f t="shared" si="6"/>
        <v>1.6420361247947456E-2</v>
      </c>
      <c r="F75" s="37"/>
      <c r="J75" s="11"/>
      <c r="L75" s="1"/>
    </row>
    <row r="76" spans="1:15">
      <c r="A76" s="5" t="s">
        <v>86</v>
      </c>
      <c r="B76" s="62">
        <v>0</v>
      </c>
      <c r="C76" s="67">
        <v>400</v>
      </c>
      <c r="D76" s="41">
        <f>C76*B76</f>
        <v>0</v>
      </c>
      <c r="E76" s="82">
        <f t="shared" si="6"/>
        <v>0</v>
      </c>
      <c r="J76" s="11"/>
      <c r="L76" s="1"/>
    </row>
    <row r="77" spans="1:15" ht="12.9" customHeight="1" thickBot="1">
      <c r="A77" s="5" t="s">
        <v>87</v>
      </c>
      <c r="D77" s="45">
        <v>1800</v>
      </c>
      <c r="E77" s="82">
        <f t="shared" si="6"/>
        <v>0.14778325123152711</v>
      </c>
      <c r="J77" s="11"/>
    </row>
    <row r="78" spans="1:15" ht="12.9" customHeight="1" thickBot="1">
      <c r="A78" s="90" t="s">
        <v>88</v>
      </c>
      <c r="B78" s="91"/>
      <c r="C78" s="92"/>
      <c r="D78" s="57">
        <f>SUM(D72:D77)</f>
        <v>21782.363750000004</v>
      </c>
      <c r="E78" s="84">
        <f t="shared" si="6"/>
        <v>1.7883714080459774</v>
      </c>
      <c r="F78" s="20"/>
      <c r="H78" s="11"/>
      <c r="J78" s="11"/>
      <c r="L78" s="1"/>
    </row>
    <row r="79" spans="1:15">
      <c r="A79" s="1"/>
      <c r="B79" s="2"/>
      <c r="C79" s="54"/>
      <c r="D79" s="54"/>
      <c r="E79" s="82"/>
      <c r="H79" s="11"/>
      <c r="J79" s="11"/>
      <c r="L79" s="1"/>
    </row>
    <row r="80" spans="1:15">
      <c r="A80" s="3" t="s">
        <v>89</v>
      </c>
      <c r="E80" s="82"/>
    </row>
    <row r="81" spans="1:15">
      <c r="A81" s="5" t="s">
        <v>90</v>
      </c>
      <c r="D81" s="41">
        <f>SUM(G16,G17)</f>
        <v>13700.125000000002</v>
      </c>
      <c r="E81" s="82">
        <f t="shared" ref="E81:E86" si="7">D81/$B$22</f>
        <v>1.1248050082101808</v>
      </c>
      <c r="F81" s="36" t="s">
        <v>43</v>
      </c>
    </row>
    <row r="82" spans="1:15">
      <c r="A82" s="5" t="s">
        <v>91</v>
      </c>
      <c r="D82" s="60">
        <v>500</v>
      </c>
      <c r="E82" s="82">
        <f t="shared" si="7"/>
        <v>4.1050903119868636E-2</v>
      </c>
      <c r="F82" s="36" t="s">
        <v>48</v>
      </c>
      <c r="I82" s="11"/>
      <c r="J82" s="11"/>
      <c r="L82" s="6"/>
      <c r="M82" s="9"/>
      <c r="N82" s="6"/>
      <c r="O82" s="50"/>
    </row>
    <row r="83" spans="1:15" ht="12.9" customHeight="1">
      <c r="A83" s="5" t="s">
        <v>66</v>
      </c>
      <c r="D83" s="41">
        <v>800</v>
      </c>
      <c r="E83" s="82">
        <f t="shared" si="7"/>
        <v>6.5681444991789822E-2</v>
      </c>
      <c r="F83" s="36" t="s">
        <v>43</v>
      </c>
      <c r="I83" s="37"/>
      <c r="J83" s="37"/>
      <c r="L83" s="13"/>
      <c r="M83" s="13"/>
      <c r="N83" s="13"/>
      <c r="O83" s="13"/>
    </row>
    <row r="84" spans="1:15" ht="12.9" customHeight="1">
      <c r="A84" s="5" t="s">
        <v>78</v>
      </c>
      <c r="D84" s="41">
        <v>500</v>
      </c>
      <c r="E84" s="82">
        <f t="shared" si="7"/>
        <v>4.1050903119868636E-2</v>
      </c>
      <c r="F84" s="36" t="s">
        <v>43</v>
      </c>
      <c r="G84" s="36"/>
      <c r="I84" s="37"/>
      <c r="J84" s="37"/>
      <c r="L84" s="13"/>
      <c r="M84" s="13"/>
      <c r="N84" s="13"/>
      <c r="O84" s="13"/>
    </row>
    <row r="85" spans="1:15" ht="12.9" customHeight="1" thickBot="1">
      <c r="A85" s="5" t="s">
        <v>87</v>
      </c>
      <c r="D85" s="60">
        <v>400</v>
      </c>
      <c r="E85" s="82">
        <f t="shared" si="7"/>
        <v>3.2840722495894911E-2</v>
      </c>
      <c r="F85" s="36" t="s">
        <v>43</v>
      </c>
    </row>
    <row r="86" spans="1:15" ht="13.3" customHeight="1" thickBot="1">
      <c r="A86" s="90" t="s">
        <v>92</v>
      </c>
      <c r="B86" s="93"/>
      <c r="C86" s="93"/>
      <c r="D86" s="57">
        <f>SUM(D81:D85)</f>
        <v>15900.125000000002</v>
      </c>
      <c r="E86" s="84">
        <f t="shared" si="7"/>
        <v>1.3054289819376028</v>
      </c>
      <c r="F86" s="20"/>
      <c r="G86" s="36"/>
      <c r="I86" s="37"/>
      <c r="J86" s="37"/>
      <c r="L86" s="13"/>
      <c r="M86" s="13"/>
      <c r="N86" s="13"/>
      <c r="O86" s="13"/>
    </row>
    <row r="87" spans="1:15" ht="13.3" customHeight="1" thickBot="1">
      <c r="A87" s="1"/>
      <c r="E87" s="82"/>
      <c r="G87" s="36"/>
      <c r="I87" s="37"/>
      <c r="J87" s="37"/>
      <c r="L87" s="13"/>
      <c r="M87" s="13"/>
      <c r="N87" s="13"/>
      <c r="O87" s="13"/>
    </row>
    <row r="88" spans="1:15" ht="13.3" customHeight="1" thickBot="1">
      <c r="A88" s="90" t="s">
        <v>93</v>
      </c>
      <c r="B88" s="93"/>
      <c r="C88" s="93"/>
      <c r="D88" s="57">
        <f>D78+D86</f>
        <v>37682.488750000004</v>
      </c>
      <c r="E88" s="84"/>
      <c r="F88" s="20"/>
      <c r="G88" s="36"/>
      <c r="I88" s="37"/>
      <c r="J88" s="37"/>
      <c r="L88" s="13"/>
      <c r="M88" s="13"/>
      <c r="N88" s="13"/>
      <c r="O88" s="13"/>
    </row>
    <row r="89" spans="1:15" ht="12.9" customHeight="1">
      <c r="E89" s="82"/>
      <c r="F89" s="118" t="s">
        <v>94</v>
      </c>
      <c r="G89" s="119"/>
      <c r="H89" s="119"/>
      <c r="I89" s="37"/>
      <c r="J89" s="37"/>
      <c r="L89" s="13"/>
      <c r="M89" s="13"/>
      <c r="N89" s="13"/>
      <c r="O89" s="13"/>
    </row>
    <row r="90" spans="1:15" ht="12.9" customHeight="1">
      <c r="A90" s="21" t="s">
        <v>95</v>
      </c>
      <c r="B90" s="10"/>
      <c r="C90" s="10"/>
      <c r="D90" s="51" t="s">
        <v>96</v>
      </c>
      <c r="E90" s="82"/>
      <c r="F90" s="6" t="s">
        <v>97</v>
      </c>
      <c r="G90" s="63" t="s">
        <v>98</v>
      </c>
      <c r="H90" s="63" t="s">
        <v>99</v>
      </c>
      <c r="I90" s="37"/>
      <c r="J90" s="37"/>
      <c r="L90" s="13"/>
      <c r="M90" s="13"/>
      <c r="N90" s="13"/>
      <c r="O90" s="13"/>
    </row>
    <row r="91" spans="1:15" ht="12.9" customHeight="1">
      <c r="A91" s="5" t="s">
        <v>100</v>
      </c>
      <c r="B91" s="12"/>
      <c r="C91" s="54"/>
      <c r="D91" s="88">
        <v>30500</v>
      </c>
      <c r="E91" s="82">
        <f>D91/$B$22</f>
        <v>2.5041050903119868</v>
      </c>
      <c r="F91" s="18">
        <f>D91-D78</f>
        <v>8717.6362499999959</v>
      </c>
      <c r="G91" s="94">
        <f>D91/D78-1</f>
        <v>0.4002153462339455</v>
      </c>
      <c r="H91" s="94">
        <f>F91/D91</f>
        <v>0.28582413934426215</v>
      </c>
      <c r="I91" s="37"/>
      <c r="J91" s="37"/>
      <c r="L91" s="13"/>
      <c r="M91" s="13"/>
      <c r="N91" s="13"/>
      <c r="O91" s="13"/>
    </row>
    <row r="92" spans="1:15" ht="12.9" customHeight="1" thickBot="1">
      <c r="A92" s="5" t="s">
        <v>101</v>
      </c>
      <c r="D92" s="88">
        <v>22300</v>
      </c>
      <c r="E92" s="82">
        <f>D92/B26</f>
        <v>1115</v>
      </c>
      <c r="F92" s="18">
        <f>D92-D86</f>
        <v>6399.8749999999982</v>
      </c>
      <c r="G92" s="94">
        <f>D92/D86-1</f>
        <v>0.4025046972901154</v>
      </c>
      <c r="H92" s="94">
        <f>F92/D92</f>
        <v>0.28698991031390125</v>
      </c>
    </row>
    <row r="93" spans="1:15" ht="12.9" customHeight="1" thickBot="1">
      <c r="A93" s="5" t="s">
        <v>102</v>
      </c>
      <c r="D93" s="89">
        <f>D91+D92</f>
        <v>52800</v>
      </c>
      <c r="F93" s="18">
        <f>D93-D88</f>
        <v>15117.511249999996</v>
      </c>
      <c r="G93" s="94">
        <f>D93/D88-1</f>
        <v>0.40118133784356247</v>
      </c>
      <c r="H93" s="94">
        <f>F93/D93</f>
        <v>0.28631650094696964</v>
      </c>
    </row>
    <row r="94" spans="1:15">
      <c r="A94" s="12"/>
    </row>
    <row r="95" spans="1:15">
      <c r="A95" s="21" t="s">
        <v>103</v>
      </c>
    </row>
    <row r="96" spans="1:15">
      <c r="A96" s="5" t="s">
        <v>104</v>
      </c>
      <c r="C96" s="56"/>
      <c r="D96" s="59">
        <v>12</v>
      </c>
    </row>
    <row r="97" spans="1:11">
      <c r="A97" s="5" t="s">
        <v>105</v>
      </c>
      <c r="C97" s="56"/>
      <c r="D97" s="112">
        <v>6.7400000000000002E-2</v>
      </c>
    </row>
    <row r="98" spans="1:11">
      <c r="A98" s="5" t="s">
        <v>106</v>
      </c>
      <c r="D98" s="113">
        <f>ROUNDUP(D91*(((D97/12)*(1+(D97/12))^(D96*12))/(((1+(D97/12))^(D96*12))-1)),0)</f>
        <v>310</v>
      </c>
    </row>
    <row r="99" spans="1:11" ht="12.9" customHeight="1" thickBot="1">
      <c r="A99" s="5" t="s">
        <v>107</v>
      </c>
      <c r="D99" s="113">
        <f>ROUNDUP(D92*(((D97/12)*(1+(D97/12))^(D96*12))/(((1+(D97/12))^(D96*12))-1)),0)</f>
        <v>227</v>
      </c>
    </row>
    <row r="100" spans="1:11" ht="12.9" customHeight="1" thickBot="1">
      <c r="A100" s="1" t="s">
        <v>108</v>
      </c>
      <c r="D100" s="114">
        <f>ROUNDUP(D98+D99,0)</f>
        <v>537</v>
      </c>
    </row>
    <row r="101" spans="1:11">
      <c r="C101" s="56"/>
    </row>
    <row r="102" spans="1:11">
      <c r="C102" s="56"/>
    </row>
    <row r="103" spans="1:11">
      <c r="C103" s="56"/>
      <c r="I103" s="58"/>
    </row>
    <row r="104" spans="1:11">
      <c r="I104" s="58"/>
    </row>
    <row r="105" spans="1:11">
      <c r="K105" s="58"/>
    </row>
    <row r="107" spans="1:11">
      <c r="C107" s="46"/>
    </row>
    <row r="108" spans="1:11">
      <c r="C108" s="56"/>
      <c r="D108" s="56"/>
    </row>
    <row r="109" spans="1:11">
      <c r="C109" s="56"/>
      <c r="D109" s="56"/>
    </row>
    <row r="110" spans="1:11">
      <c r="C110" s="56"/>
      <c r="D110" s="56"/>
    </row>
    <row r="122" spans="9:9">
      <c r="I122" s="5" t="s">
        <v>109</v>
      </c>
    </row>
  </sheetData>
  <mergeCells count="1">
    <mergeCell ref="F89:H89"/>
  </mergeCells>
  <dataValidations count="4">
    <dataValidation type="list" allowBlank="1" showInputMessage="1" showErrorMessage="1" sqref="B8" xr:uid="{00000000-0002-0000-0100-000000000000}">
      <formula1>"Composition Shingle, Concrete Tile, Standing Seam, Flat Membrane, Carport, Ground Mount, Decra Tile, Decra Shake, Metal"</formula1>
    </dataValidation>
    <dataValidation type="list" allowBlank="1" showInputMessage="1" showErrorMessage="1" sqref="B17" xr:uid="{00000000-0002-0000-0100-000001000000}">
      <formula1>"Grid-Tied, Meter Collar, System Controller"</formula1>
    </dataValidation>
    <dataValidation type="list" allowBlank="1" showInputMessage="1" showErrorMessage="1" sqref="B15" xr:uid="{00000000-0002-0000-0100-000002000000}">
      <formula1>"IQ Combiner 5, IQ Combiner 6C"</formula1>
    </dataValidation>
    <dataValidation type="list" allowBlank="1" showInputMessage="1" showErrorMessage="1" sqref="B14" xr:uid="{00000000-0002-0000-0100-000003000000}">
      <formula1>"FlashFoot 2, Tile Hook, EJOT Solar Fastener, S-5! Non-Penetrating Clamp, Post w/ TPO Boot"</formula1>
    </dataValidation>
  </dataValidations>
  <printOptions horizontalCentered="1"/>
  <pageMargins left="0.43" right="0.4" top="0.56999999999999995" bottom="0.5" header="0.5" footer="0.5"/>
  <pageSetup scale="53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Customer Info</vt:lpstr>
      <vt:lpstr>Pricing Calculator</vt:lpstr>
      <vt:lpstr>'Pricing Calculator'!Print_Area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Joseph Yakligian</cp:lastModifiedBy>
  <cp:lastPrinted>2015-07-07T23:03:40Z</cp:lastPrinted>
  <dcterms:created xsi:type="dcterms:W3CDTF">2009-02-21T01:25:05Z</dcterms:created>
  <dcterms:modified xsi:type="dcterms:W3CDTF">2026-08-04T04:15:06Z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45413-c592-4179-8f81-f1dad434ddf0_Enabled">
    <vt:lpwstr>true</vt:lpwstr>
  </property>
  <property fmtid="{D5CDD505-2E9C-101B-9397-08002B2CF9AE}" pid="3" name="MSIP_Label_1bf45413-c592-4179-8f81-f1dad434ddf0_SetDate">
    <vt:lpwstr>2026-07-26T22:31:31Z</vt:lpwstr>
  </property>
  <property fmtid="{D5CDD505-2E9C-101B-9397-08002B2CF9AE}" pid="4" name="MSIP_Label_1bf45413-c592-4179-8f81-f1dad434ddf0_Method">
    <vt:lpwstr>Standard</vt:lpwstr>
  </property>
  <property fmtid="{D5CDD505-2E9C-101B-9397-08002B2CF9AE}" pid="5" name="MSIP_Label_1bf45413-c592-4179-8f81-f1dad434ddf0_Name">
    <vt:lpwstr>defa4170-0d19-0005-0004-bc88714345d2</vt:lpwstr>
  </property>
  <property fmtid="{D5CDD505-2E9C-101B-9397-08002B2CF9AE}" pid="6" name="MSIP_Label_1bf45413-c592-4179-8f81-f1dad434ddf0_SiteId">
    <vt:lpwstr>ae8eae2d-c0f6-4368-9e90-2c0bda55e80e</vt:lpwstr>
  </property>
  <property fmtid="{D5CDD505-2E9C-101B-9397-08002B2CF9AE}" pid="7" name="MSIP_Label_1bf45413-c592-4179-8f81-f1dad434ddf0_ActionId">
    <vt:lpwstr>8cc7eb60-3026-4427-8f79-b1d966e30b2c</vt:lpwstr>
  </property>
  <property fmtid="{D5CDD505-2E9C-101B-9397-08002B2CF9AE}" pid="8" name="MSIP_Label_1bf45413-c592-4179-8f81-f1dad434ddf0_ContentBits">
    <vt:lpwstr>0</vt:lpwstr>
  </property>
  <property fmtid="{D5CDD505-2E9C-101B-9397-08002B2CF9AE}" pid="9" name="MSIP_Label_1bf45413-c592-4179-8f81-f1dad434ddf0_Tag">
    <vt:lpwstr>10, 3, 0, 1</vt:lpwstr>
  </property>
</Properties>
</file>